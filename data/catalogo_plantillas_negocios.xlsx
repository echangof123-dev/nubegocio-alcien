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ódulos" sheetId="2" state="visible" r:id="rId4"/>
    <sheet name="Familias" sheetId="3" state="visible" r:id="rId5"/>
    <sheet name="Matriz" sheetId="4" state="visible" r:id="rId6"/>
    <sheet name="Tipos de negocio" sheetId="5" state="visible" r:id="rId7"/>
    <sheet name="Fichas ejemplo" sheetId="6" state="visible" r:id="rId8"/>
    <sheet name="Flujo de registr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<sst xmlns="http://schemas.openxmlformats.org/spreadsheetml/2006/main" count="2361" uniqueCount="1274">
  <si>
    <t xml:space="preserve">Catálogo de plantillas por tipo de negocio</t>
  </si>
  <si>
    <t xml:space="preserve">Base del onboarding automático: el usuario elige su negocio y el sistema activa módulos y precarga su catálogo.</t>
  </si>
  <si>
    <t xml:space="preserve">Cómo funciona (3 capas)</t>
  </si>
  <si>
    <t xml:space="preserve">1. Módulos: piezas que se activan o desactivan</t>
  </si>
  <si>
    <t xml:space="preserve">Hoja Módulos</t>
  </si>
  <si>
    <t xml:space="preserve">2. Familias: grupos de negocio que comparten módulos</t>
  </si>
  <si>
    <t xml:space="preserve">Hojas Familias y Matriz</t>
  </si>
  <si>
    <t xml:space="preserve">3. Tipos de negocio: ficha ligera por negocio</t>
  </si>
  <si>
    <t xml:space="preserve">Hoja Tipos de negocio</t>
  </si>
  <si>
    <t xml:space="preserve">Totales</t>
  </si>
  <si>
    <t xml:space="preserve">Módulos</t>
  </si>
  <si>
    <t xml:space="preserve">Módulos núcleo (siempre activos)</t>
  </si>
  <si>
    <t xml:space="preserve">Familias</t>
  </si>
  <si>
    <t xml:space="preserve">Tipos de negocio</t>
  </si>
  <si>
    <t xml:space="preserve">Tipos de negocio por familia</t>
  </si>
  <si>
    <t xml:space="preserve">Familia</t>
  </si>
  <si>
    <t xml:space="preserve">Tipos</t>
  </si>
  <si>
    <t xml:space="preserve">Módulos activos</t>
  </si>
  <si>
    <t xml:space="preserve">F01 · Restaurantes con servicio a mesa</t>
  </si>
  <si>
    <t xml:space="preserve">F02 · Comida rápida y para llevar</t>
  </si>
  <si>
    <t xml:space="preserve">F03 · Panadería, pastelería y producción</t>
  </si>
  <si>
    <t xml:space="preserve">F04 · Abarrotes y mercado</t>
  </si>
  <si>
    <t xml:space="preserve">F05 · Moda y retail con variantes</t>
  </si>
  <si>
    <t xml:space="preserve">F06 · Retail general</t>
  </si>
  <si>
    <t xml:space="preserve">F07 · Farmacia y salud con producto</t>
  </si>
  <si>
    <t xml:space="preserve">F08 · Tecnología y electrónica</t>
  </si>
  <si>
    <t xml:space="preserve">F09 · Ferretería y construcción</t>
  </si>
  <si>
    <t xml:space="preserve">F10 · Servicios con cita</t>
  </si>
  <si>
    <t xml:space="preserve">F11 · Talleres y servicio técnico</t>
  </si>
  <si>
    <t xml:space="preserve">F12 · Servicios profesionales</t>
  </si>
  <si>
    <t xml:space="preserve">F13 · Mayoristas y distribuidoras</t>
  </si>
  <si>
    <t xml:space="preserve">F14 · Agro y acopio</t>
  </si>
  <si>
    <t xml:space="preserve">F15 · Deporte, educación y membresías</t>
  </si>
  <si>
    <t xml:space="preserve">F16 · Hospedaje, eventos y alquiler</t>
  </si>
  <si>
    <t xml:space="preserve">Primera propuesta para revisar. Los tipos de negocio se amplían (también con IA) sin tocar los módulos.</t>
  </si>
  <si>
    <t xml:space="preserve">ID</t>
  </si>
  <si>
    <t xml:space="preserve">Módulo</t>
  </si>
  <si>
    <t xml:space="preserve">Qué hace</t>
  </si>
  <si>
    <t xml:space="preserve">Tipo</t>
  </si>
  <si>
    <t xml:space="preserve">M01</t>
  </si>
  <si>
    <t xml:space="preserve">Ventas (punto de venta)</t>
  </si>
  <si>
    <t xml:space="preserve">Registrar ventas rápidas, métodos de pago, descuentos, comprobante por WhatsApp o impreso</t>
  </si>
  <si>
    <t xml:space="preserve">Núcleo</t>
  </si>
  <si>
    <t xml:space="preserve">M02</t>
  </si>
  <si>
    <t xml:space="preserve">Caja</t>
  </si>
  <si>
    <t xml:space="preserve">Apertura y cierre de caja, arqueo, descuadres, ingresos y retiros de efectivo</t>
  </si>
  <si>
    <t xml:space="preserve">M03</t>
  </si>
  <si>
    <t xml:space="preserve">Gastos</t>
  </si>
  <si>
    <t xml:space="preserve">Registro de gastos por categoría</t>
  </si>
  <si>
    <t xml:space="preserve">M04</t>
  </si>
  <si>
    <t xml:space="preserve">Inventario</t>
  </si>
  <si>
    <t xml:space="preserve">Stock automático (compra suma, venta resta), alertas de stock bajo, conteos</t>
  </si>
  <si>
    <t xml:space="preserve">Activable</t>
  </si>
  <si>
    <t xml:space="preserve">M05</t>
  </si>
  <si>
    <t xml:space="preserve">Variantes</t>
  </si>
  <si>
    <t xml:space="preserve">Tallas, colores y presentaciones por producto</t>
  </si>
  <si>
    <t xml:space="preserve">M06</t>
  </si>
  <si>
    <t xml:space="preserve">Venta por peso/medida</t>
  </si>
  <si>
    <t xml:space="preserve">Venta por kilo, libra, litro, metro, quintal; balanza</t>
  </si>
  <si>
    <t xml:space="preserve">M07</t>
  </si>
  <si>
    <t xml:space="preserve">Código de barras</t>
  </si>
  <si>
    <t xml:space="preserve">Lectura EAN-13/UPC-A con cámara o lector, impresión de etiquetas</t>
  </si>
  <si>
    <t xml:space="preserve">M08</t>
  </si>
  <si>
    <t xml:space="preserve">Recetas e insumos</t>
  </si>
  <si>
    <t xml:space="preserve">El producto final descuenta insumos; costo por plato o producto</t>
  </si>
  <si>
    <t xml:space="preserve">M09</t>
  </si>
  <si>
    <t xml:space="preserve">Mesas y comandas</t>
  </si>
  <si>
    <t xml:space="preserve">Mapa de mesas, cuentas abiertas, comandas a cocina, división de cuenta</t>
  </si>
  <si>
    <t xml:space="preserve">M10</t>
  </si>
  <si>
    <t xml:space="preserve">Pedidos y delivery</t>
  </si>
  <si>
    <t xml:space="preserve">Pedidos para llevar o a domicilio, estados, repartidor</t>
  </si>
  <si>
    <t xml:space="preserve">M11</t>
  </si>
  <si>
    <t xml:space="preserve">Citas y agenda</t>
  </si>
  <si>
    <t xml:space="preserve">Agenda por profesional, recordatorios por WhatsApp</t>
  </si>
  <si>
    <t xml:space="preserve">M12</t>
  </si>
  <si>
    <t xml:space="preserve">Servicios y comisiones</t>
  </si>
  <si>
    <t xml:space="preserve">Catálogo de servicios, comisión por empleado</t>
  </si>
  <si>
    <t xml:space="preserve">M13</t>
  </si>
  <si>
    <t xml:space="preserve">Órdenes de trabajo</t>
  </si>
  <si>
    <t xml:space="preserve">Recepción de equipo o vehículo, diagnóstico, repuestos, mano de obra, estado</t>
  </si>
  <si>
    <t xml:space="preserve">M14</t>
  </si>
  <si>
    <t xml:space="preserve">Fiado / cuentas por cobrar</t>
  </si>
  <si>
    <t xml:space="preserve">Deudas de clientes, abonos, recordatorios automáticos de cobro</t>
  </si>
  <si>
    <t xml:space="preserve">M15</t>
  </si>
  <si>
    <t xml:space="preserve">Proveedores y compras</t>
  </si>
  <si>
    <t xml:space="preserve">Proveedores, órdenes de compra, compras que actualizan stock y costo</t>
  </si>
  <si>
    <t xml:space="preserve">M16</t>
  </si>
  <si>
    <t xml:space="preserve">Lotes y caducidad</t>
  </si>
  <si>
    <t xml:space="preserve">Lote y fecha de vencimiento por producto, alertas</t>
  </si>
  <si>
    <t xml:space="preserve">M17</t>
  </si>
  <si>
    <t xml:space="preserve">Listas de precios</t>
  </si>
  <si>
    <t xml:space="preserve">Precio minorista, mayorista, por volumen o por cliente</t>
  </si>
  <si>
    <t xml:space="preserve">M18</t>
  </si>
  <si>
    <t xml:space="preserve">Catálogo online</t>
  </si>
  <si>
    <t xml:space="preserve">Catálogo compartible con pedidos que entran al POS</t>
  </si>
  <si>
    <t xml:space="preserve">M19</t>
  </si>
  <si>
    <t xml:space="preserve">Facturación electrónica SRI</t>
  </si>
  <si>
    <t xml:space="preserve">Factura, nota de crédito, retención; firma y transmisión inmediata al SRI</t>
  </si>
  <si>
    <t xml:space="preserve">M20</t>
  </si>
  <si>
    <t xml:space="preserve">Empleados y permisos</t>
  </si>
  <si>
    <t xml:space="preserve">Usuarios, roles y permisos por módulo</t>
  </si>
  <si>
    <t xml:space="preserve">M21</t>
  </si>
  <si>
    <t xml:space="preserve">Reportes y estadísticas</t>
  </si>
  <si>
    <t xml:space="preserve">Ventas, gastos, utilidad, productos más vendidos</t>
  </si>
  <si>
    <t xml:space="preserve">M22</t>
  </si>
  <si>
    <t xml:space="preserve">Membresías y planes</t>
  </si>
  <si>
    <t xml:space="preserve">Mensualidades, control de asistencia, vencimientos</t>
  </si>
  <si>
    <t xml:space="preserve">M23</t>
  </si>
  <si>
    <t xml:space="preserve">Series y garantías</t>
  </si>
  <si>
    <t xml:space="preserve">IMEI o número de serie, garantía por venta</t>
  </si>
  <si>
    <t xml:space="preserve">M24</t>
  </si>
  <si>
    <t xml:space="preserve">Cotizaciones</t>
  </si>
  <si>
    <t xml:space="preserve">Proformas que se convierten en venta</t>
  </si>
  <si>
    <t xml:space="preserve">M25</t>
  </si>
  <si>
    <t xml:space="preserve">Compras a productores (acopio)</t>
  </si>
  <si>
    <t xml:space="preserve">Compra por peso con descuentos por humedad e impureza, liquidación de compra</t>
  </si>
  <si>
    <t xml:space="preserve">M26</t>
  </si>
  <si>
    <t xml:space="preserve">Reservas por fecha</t>
  </si>
  <si>
    <t xml:space="preserve">Reserva de habitaciones, canchas, salones o artículos por fecha/hora</t>
  </si>
  <si>
    <t xml:space="preserve">Núcleo = activo en todos los negocios. Activable = depende de la familia.</t>
  </si>
  <si>
    <t xml:space="preserve">Descripción</t>
  </si>
  <si>
    <t xml:space="preserve">Palabra para ítems</t>
  </si>
  <si>
    <t xml:space="preserve">Unidad por defecto</t>
  </si>
  <si>
    <t xml:space="preserve">Módulos que se activan (además del núcleo)</t>
  </si>
  <si>
    <t xml:space="preserve">Módulos opcionales</t>
  </si>
  <si>
    <t xml:space="preserve">F01</t>
  </si>
  <si>
    <t xml:space="preserve">Restaurantes con servicio a mesa</t>
  </si>
  <si>
    <t xml:space="preserve">Atención en mesa, cocina con comandas</t>
  </si>
  <si>
    <t xml:space="preserve">Platos</t>
  </si>
  <si>
    <t xml:space="preserve">Unidad</t>
  </si>
  <si>
    <t xml:space="preserve">Inventario, Recetas e insumos, Mesas y comandas, Pedidos y delivery, Fiado / cuentas por cobrar, Proveedores y compras</t>
  </si>
  <si>
    <t xml:space="preserve">Catálogo online, Lotes y caducidad</t>
  </si>
  <si>
    <t xml:space="preserve">F02</t>
  </si>
  <si>
    <t xml:space="preserve">Comida rápida y para llevar</t>
  </si>
  <si>
    <t xml:space="preserve">Venta rápida en mostrador, combos, delivery</t>
  </si>
  <si>
    <t xml:space="preserve">Productos</t>
  </si>
  <si>
    <t xml:space="preserve">Inventario, Recetas e insumos, Pedidos y delivery, Proveedores y compras</t>
  </si>
  <si>
    <t xml:space="preserve">Mesas y comandas, Fiado / cuentas por cobrar, Catálogo online</t>
  </si>
  <si>
    <t xml:space="preserve">F03</t>
  </si>
  <si>
    <t xml:space="preserve">Panadería, pastelería y producción</t>
  </si>
  <si>
    <t xml:space="preserve">Producen lo que venden; recetas e insumos</t>
  </si>
  <si>
    <t xml:space="preserve">Inventario, Recetas e insumos, Fiado / cuentas por cobrar, Proveedores y compras, Lotes y caducidad</t>
  </si>
  <si>
    <t xml:space="preserve">Pedidos y delivery, Catálogo online, Cotizaciones</t>
  </si>
  <si>
    <t xml:space="preserve">F04</t>
  </si>
  <si>
    <t xml:space="preserve">Abarrotes y mercado</t>
  </si>
  <si>
    <t xml:space="preserve">Muchos productos, fiado, venta por peso</t>
  </si>
  <si>
    <t xml:space="preserve">Inventario, Venta por peso/medida, Código de barras, Fiado / cuentas por cobrar, Proveedores y compras, Lotes y caducidad</t>
  </si>
  <si>
    <t xml:space="preserve">Listas de precios, Catálogo online</t>
  </si>
  <si>
    <t xml:space="preserve">F05</t>
  </si>
  <si>
    <t xml:space="preserve">Moda y retail con variantes</t>
  </si>
  <si>
    <t xml:space="preserve">Tallas y colores, temporadas</t>
  </si>
  <si>
    <t xml:space="preserve">Inventario, Variantes, Código de barras, Proveedores y compras</t>
  </si>
  <si>
    <t xml:space="preserve">Fiado / cuentas por cobrar, Listas de precios, Catálogo online</t>
  </si>
  <si>
    <t xml:space="preserve">F06</t>
  </si>
  <si>
    <t xml:space="preserve">Retail general</t>
  </si>
  <si>
    <t xml:space="preserve">Tiendas y bazares sin variantes complejas</t>
  </si>
  <si>
    <t xml:space="preserve">Inventario, Código de barras, Proveedores y compras</t>
  </si>
  <si>
    <t xml:space="preserve">Variantes, Fiado / cuentas por cobrar, Listas de precios, Catálogo online</t>
  </si>
  <si>
    <t xml:space="preserve">F07</t>
  </si>
  <si>
    <t xml:space="preserve">Farmacia y salud con producto</t>
  </si>
  <si>
    <t xml:space="preserve">Lotes, caducidad, control de medicamentos</t>
  </si>
  <si>
    <t xml:space="preserve">Inventario, Código de barras, Proveedores y compras, Lotes y caducidad</t>
  </si>
  <si>
    <t xml:space="preserve">Fiado / cuentas por cobrar, Listas de precios</t>
  </si>
  <si>
    <t xml:space="preserve">F08</t>
  </si>
  <si>
    <t xml:space="preserve">Tecnología y electrónica</t>
  </si>
  <si>
    <t xml:space="preserve">Series/IMEI, garantías, servicio técnico</t>
  </si>
  <si>
    <t xml:space="preserve">Inventario, Código de barras, Proveedores y compras, Series y garantías</t>
  </si>
  <si>
    <t xml:space="preserve">Órdenes de trabajo, Fiado / cuentas por cobrar, Cotizaciones</t>
  </si>
  <si>
    <t xml:space="preserve">F09</t>
  </si>
  <si>
    <t xml:space="preserve">Ferretería y construcción</t>
  </si>
  <si>
    <t xml:space="preserve">Miles de ítems, medidas, proformas, crédito</t>
  </si>
  <si>
    <t xml:space="preserve">Inventario, Venta por peso/medida, Código de barras, Fiado / cuentas por cobrar, Proveedores y compras, Listas de precios, Cotizaciones</t>
  </si>
  <si>
    <t xml:space="preserve">F10</t>
  </si>
  <si>
    <t xml:space="preserve">Servicios con cita</t>
  </si>
  <si>
    <t xml:space="preserve">Belleza, bienestar y salud con agenda</t>
  </si>
  <si>
    <t xml:space="preserve">Servicios</t>
  </si>
  <si>
    <t xml:space="preserve">Servicio</t>
  </si>
  <si>
    <t xml:space="preserve">Citas y agenda, Servicios y comisiones, Fiado / cuentas por cobrar</t>
  </si>
  <si>
    <t xml:space="preserve">Inventario, Catálogo online</t>
  </si>
  <si>
    <t xml:space="preserve">F11</t>
  </si>
  <si>
    <t xml:space="preserve">Talleres y servicio técnico</t>
  </si>
  <si>
    <t xml:space="preserve">Órdenes de trabajo, repuestos y mano de obra</t>
  </si>
  <si>
    <t xml:space="preserve">Inventario, Órdenes de trabajo, Fiado / cuentas por cobrar, Proveedores y compras, Cotizaciones</t>
  </si>
  <si>
    <t xml:space="preserve">F12</t>
  </si>
  <si>
    <t xml:space="preserve">Servicios profesionales</t>
  </si>
  <si>
    <t xml:space="preserve">Honorarios, proyectos, cobros recurrentes</t>
  </si>
  <si>
    <t xml:space="preserve">Fiado / cuentas por cobrar, Cotizaciones</t>
  </si>
  <si>
    <t xml:space="preserve">F13</t>
  </si>
  <si>
    <t xml:space="preserve">Mayoristas y distribuidoras</t>
  </si>
  <si>
    <t xml:space="preserve">Volumen, listas de precio, crédito a clientes</t>
  </si>
  <si>
    <t xml:space="preserve">Inventario, Código de barras, Fiado / cuentas por cobrar, Proveedores y compras, Listas de precios, Cotizaciones</t>
  </si>
  <si>
    <t xml:space="preserve">Venta por peso/medida, Lotes y caducidad, Catálogo online</t>
  </si>
  <si>
    <t xml:space="preserve">F14</t>
  </si>
  <si>
    <t xml:space="preserve">Agro y acopio</t>
  </si>
  <si>
    <t xml:space="preserve">Insumos agrícolas y compra de producción por peso</t>
  </si>
  <si>
    <t xml:space="preserve">Quintal</t>
  </si>
  <si>
    <t xml:space="preserve">Inventario, Venta por peso/medida, Fiado / cuentas por cobrar, Proveedores y compras, Lotes y caducidad</t>
  </si>
  <si>
    <t xml:space="preserve">Listas de precios, Compras a productores (acopio)</t>
  </si>
  <si>
    <t xml:space="preserve">F15</t>
  </si>
  <si>
    <t xml:space="preserve">Deporte, educación y membresías</t>
  </si>
  <si>
    <t xml:space="preserve">Mensualidades y asistencia</t>
  </si>
  <si>
    <t xml:space="preserve">Planes</t>
  </si>
  <si>
    <t xml:space="preserve">Mes</t>
  </si>
  <si>
    <t xml:space="preserve">Fiado / cuentas por cobrar, Membresías y planes</t>
  </si>
  <si>
    <t xml:space="preserve">Inventario, Citas y agenda, Reservas por fecha</t>
  </si>
  <si>
    <t xml:space="preserve">F16</t>
  </si>
  <si>
    <t xml:space="preserve">Hospedaje, eventos y alquiler</t>
  </si>
  <si>
    <t xml:space="preserve">Reservas por fecha y alquiler de artículos</t>
  </si>
  <si>
    <t xml:space="preserve">Noche</t>
  </si>
  <si>
    <t xml:space="preserve">Fiado / cuentas por cobrar, Cotizaciones, Reservas por fecha</t>
  </si>
  <si>
    <t xml:space="preserve">Inventario, Pedidos y delivery</t>
  </si>
  <si>
    <t xml:space="preserve">M01 Ventas (punto de venta)</t>
  </si>
  <si>
    <t xml:space="preserve">M02 Caja</t>
  </si>
  <si>
    <t xml:space="preserve">M03 Gastos</t>
  </si>
  <si>
    <t xml:space="preserve">M04 Inventario</t>
  </si>
  <si>
    <t xml:space="preserve">M05 Variantes</t>
  </si>
  <si>
    <t xml:space="preserve">M06 Venta por peso/medida</t>
  </si>
  <si>
    <t xml:space="preserve">M07 Código de barras</t>
  </si>
  <si>
    <t xml:space="preserve">M08 Recetas e insumos</t>
  </si>
  <si>
    <t xml:space="preserve">M09 Mesas y comandas</t>
  </si>
  <si>
    <t xml:space="preserve">M10 Pedidos y delivery</t>
  </si>
  <si>
    <t xml:space="preserve">M11 Citas y agenda</t>
  </si>
  <si>
    <t xml:space="preserve">M12 Servicios y comisiones</t>
  </si>
  <si>
    <t xml:space="preserve">M13 Órdenes de trabajo</t>
  </si>
  <si>
    <t xml:space="preserve">M14 Fiado / cuentas por cobrar</t>
  </si>
  <si>
    <t xml:space="preserve">M15 Proveedores y compras</t>
  </si>
  <si>
    <t xml:space="preserve">M16 Lotes y caducidad</t>
  </si>
  <si>
    <t xml:space="preserve">M17 Listas de precios</t>
  </si>
  <si>
    <t xml:space="preserve">M18 Catálogo online</t>
  </si>
  <si>
    <t xml:space="preserve">M19 Facturación electrónica SRI</t>
  </si>
  <si>
    <t xml:space="preserve">M20 Empleados y permisos</t>
  </si>
  <si>
    <t xml:space="preserve">M21 Reportes y estadísticas</t>
  </si>
  <si>
    <t xml:space="preserve">M22 Membresías y planes</t>
  </si>
  <si>
    <t xml:space="preserve">M23 Series y garantías</t>
  </si>
  <si>
    <t xml:space="preserve">M24 Cotizaciones</t>
  </si>
  <si>
    <t xml:space="preserve">M25 Compras a productores (acopio)</t>
  </si>
  <si>
    <t xml:space="preserve">M26 Reservas por fecha</t>
  </si>
  <si>
    <t xml:space="preserve">S</t>
  </si>
  <si>
    <t xml:space="preserve">O</t>
  </si>
  <si>
    <t xml:space="preserve">S = se activa al registrarse</t>
  </si>
  <si>
    <t xml:space="preserve">O = se sugiere activar después</t>
  </si>
  <si>
    <t xml:space="preserve">Módulos núcleo activos en todas las familias</t>
  </si>
  <si>
    <t xml:space="preserve">Tipo de negocio</t>
  </si>
  <si>
    <t xml:space="preserve">Familia ID</t>
  </si>
  <si>
    <t xml:space="preserve">Sinónimos (buscador)</t>
  </si>
  <si>
    <t xml:space="preserve">Categorías iniciales</t>
  </si>
  <si>
    <t xml:space="preserve">Unidad principal</t>
  </si>
  <si>
    <t xml:space="preserve">Ajuste propio</t>
  </si>
  <si>
    <t xml:space="preserve">T001</t>
  </si>
  <si>
    <t xml:space="preserve">Restaurante</t>
  </si>
  <si>
    <t xml:space="preserve">almuerzos, comedor</t>
  </si>
  <si>
    <t xml:space="preserve">Entradas; Platos fuertes; Bebidas; Postres</t>
  </si>
  <si>
    <t xml:space="preserve">T002</t>
  </si>
  <si>
    <t xml:space="preserve">Cevichería</t>
  </si>
  <si>
    <t xml:space="preserve">ceviche, mariscos</t>
  </si>
  <si>
    <t xml:space="preserve">Ceviches; Mariscos; Bebidas; Acompañantes</t>
  </si>
  <si>
    <t xml:space="preserve">T003</t>
  </si>
  <si>
    <t xml:space="preserve">Marisquería</t>
  </si>
  <si>
    <t xml:space="preserve">mariscos</t>
  </si>
  <si>
    <t xml:space="preserve">Encocados; Arroces; Ceviches; Bebidas</t>
  </si>
  <si>
    <t xml:space="preserve">T004</t>
  </si>
  <si>
    <t xml:space="preserve">Picantería</t>
  </si>
  <si>
    <t xml:space="preserve">comida típica</t>
  </si>
  <si>
    <t xml:space="preserve">Platos típicos; Bebidas; Entradas</t>
  </si>
  <si>
    <t xml:space="preserve">T005</t>
  </si>
  <si>
    <t xml:space="preserve">Asadero</t>
  </si>
  <si>
    <t xml:space="preserve">pollo asado, parrilla</t>
  </si>
  <si>
    <t xml:space="preserve">Pollos; Parrilladas; Acompañantes; Bebidas</t>
  </si>
  <si>
    <t xml:space="preserve">T006</t>
  </si>
  <si>
    <t xml:space="preserve">Parrillada / steakhouse</t>
  </si>
  <si>
    <t xml:space="preserve">carnes, parrilla</t>
  </si>
  <si>
    <t xml:space="preserve">Cortes; Parrilladas; Guarniciones; Bebidas</t>
  </si>
  <si>
    <t xml:space="preserve">T007</t>
  </si>
  <si>
    <t xml:space="preserve">Chifa</t>
  </si>
  <si>
    <t xml:space="preserve">comida china</t>
  </si>
  <si>
    <t xml:space="preserve">Arroces; Tallarines; Sopas; Bebidas</t>
  </si>
  <si>
    <t xml:space="preserve">T008</t>
  </si>
  <si>
    <t xml:space="preserve">Pizzería</t>
  </si>
  <si>
    <t xml:space="preserve">pizza</t>
  </si>
  <si>
    <t xml:space="preserve">Pizzas; Entradas; Bebidas; Postres</t>
  </si>
  <si>
    <t xml:space="preserve">Tamaños de pizza como variantes</t>
  </si>
  <si>
    <t xml:space="preserve">T009</t>
  </si>
  <si>
    <t xml:space="preserve">Restaurante de almuerzos (menú del día)</t>
  </si>
  <si>
    <t xml:space="preserve">almuerzos ejecutivos, comedor popular</t>
  </si>
  <si>
    <t xml:space="preserve">Almuerzos; Meriendas; Jugos</t>
  </si>
  <si>
    <t xml:space="preserve">Menú del día cambiante</t>
  </si>
  <si>
    <t xml:space="preserve">T010</t>
  </si>
  <si>
    <t xml:space="preserve">Encebollados y desayunos</t>
  </si>
  <si>
    <t xml:space="preserve">encebollado, bolones</t>
  </si>
  <si>
    <t xml:space="preserve">Encebollados; Bolones; Desayunos; Bebidas</t>
  </si>
  <si>
    <t xml:space="preserve">T011</t>
  </si>
  <si>
    <t xml:space="preserve">Fritadería / hornado</t>
  </si>
  <si>
    <t xml:space="preserve">fritada, hornado</t>
  </si>
  <si>
    <t xml:space="preserve">Fritada; Hornado; Acompañantes; Bebidas</t>
  </si>
  <si>
    <t xml:space="preserve">T012</t>
  </si>
  <si>
    <t xml:space="preserve">Sushi / comida japonesa</t>
  </si>
  <si>
    <t xml:space="preserve">sushi</t>
  </si>
  <si>
    <t xml:space="preserve">Rolls; Entradas; Bebidas</t>
  </si>
  <si>
    <t xml:space="preserve">T013</t>
  </si>
  <si>
    <t xml:space="preserve">Restaurante vegetariano</t>
  </si>
  <si>
    <t xml:space="preserve">vegano</t>
  </si>
  <si>
    <t xml:space="preserve">Platos; Ensaladas; Jugos; Postres</t>
  </si>
  <si>
    <t xml:space="preserve">T014</t>
  </si>
  <si>
    <t xml:space="preserve">Bar / cantina</t>
  </si>
  <si>
    <t xml:space="preserve">bar, cervecería</t>
  </si>
  <si>
    <t xml:space="preserve">Cervezas; Licores; Cócteles; Piqueos</t>
  </si>
  <si>
    <t xml:space="preserve">T015</t>
  </si>
  <si>
    <t xml:space="preserve">Discoteca</t>
  </si>
  <si>
    <t xml:space="preserve">club nocturno</t>
  </si>
  <si>
    <t xml:space="preserve">Botellas; Tragos; Cervezas; Entradas/cover</t>
  </si>
  <si>
    <t xml:space="preserve">T016</t>
  </si>
  <si>
    <t xml:space="preserve">Karaoke</t>
  </si>
  <si>
    <t xml:space="preserve">karaoke bar</t>
  </si>
  <si>
    <t xml:space="preserve">Bebidas; Piqueos; Horas de sala</t>
  </si>
  <si>
    <t xml:space="preserve">T017</t>
  </si>
  <si>
    <t xml:space="preserve">Restaurante de comida internacional</t>
  </si>
  <si>
    <t xml:space="preserve">mexicana, italiana</t>
  </si>
  <si>
    <t xml:space="preserve">T018</t>
  </si>
  <si>
    <t xml:space="preserve">Restaurante de hostería / campestre</t>
  </si>
  <si>
    <t xml:space="preserve">campestre</t>
  </si>
  <si>
    <t xml:space="preserve">Platos típicos; Parrilladas; Bebidas</t>
  </si>
  <si>
    <t xml:space="preserve">T019</t>
  </si>
  <si>
    <t xml:space="preserve">Comida rápida</t>
  </si>
  <si>
    <t xml:space="preserve">fast food</t>
  </si>
  <si>
    <t xml:space="preserve">Hamburguesas; Hot dogs; Combos; Bebidas</t>
  </si>
  <si>
    <t xml:space="preserve">T020</t>
  </si>
  <si>
    <t xml:space="preserve">Hamburguesería</t>
  </si>
  <si>
    <t xml:space="preserve">hamburguesas</t>
  </si>
  <si>
    <t xml:space="preserve">Hamburguesas; Papas; Combos; Bebidas</t>
  </si>
  <si>
    <t xml:space="preserve">T021</t>
  </si>
  <si>
    <t xml:space="preserve">Salchipapería</t>
  </si>
  <si>
    <t xml:space="preserve">salchipapas</t>
  </si>
  <si>
    <t xml:space="preserve">Salchipapas; Combos; Bebidas</t>
  </si>
  <si>
    <t xml:space="preserve">T022</t>
  </si>
  <si>
    <t xml:space="preserve">Food truck</t>
  </si>
  <si>
    <t xml:space="preserve">carrito de comida</t>
  </si>
  <si>
    <t xml:space="preserve">Platos; Combos; Bebidas</t>
  </si>
  <si>
    <t xml:space="preserve">T023</t>
  </si>
  <si>
    <t xml:space="preserve">Pollo broaster</t>
  </si>
  <si>
    <t xml:space="preserve">pollo frito</t>
  </si>
  <si>
    <t xml:space="preserve">Presas; Combos; Acompañantes; Bebidas</t>
  </si>
  <si>
    <t xml:space="preserve">T024</t>
  </si>
  <si>
    <t xml:space="preserve">Cafetería</t>
  </si>
  <si>
    <t xml:space="preserve">café, coffee shop</t>
  </si>
  <si>
    <t xml:space="preserve">Cafés; Bebidas frías; Postres; Sánduches</t>
  </si>
  <si>
    <t xml:space="preserve">T025</t>
  </si>
  <si>
    <t xml:space="preserve">Heladería</t>
  </si>
  <si>
    <t xml:space="preserve">helados</t>
  </si>
  <si>
    <t xml:space="preserve">Helados; Copas; Bebidas; Toppings</t>
  </si>
  <si>
    <t xml:space="preserve">T026</t>
  </si>
  <si>
    <t xml:space="preserve">Juguería</t>
  </si>
  <si>
    <t xml:space="preserve">jugos, batidos</t>
  </si>
  <si>
    <t xml:space="preserve">Jugos; Batidos; Ensaladas de frutas</t>
  </si>
  <si>
    <t xml:space="preserve">T027</t>
  </si>
  <si>
    <t xml:space="preserve">Comida casera a domicilio</t>
  </si>
  <si>
    <t xml:space="preserve">almuerzos a domicilio</t>
  </si>
  <si>
    <t xml:space="preserve">Almuerzos; Postres; Bebidas</t>
  </si>
  <si>
    <t xml:space="preserve">T028</t>
  </si>
  <si>
    <t xml:space="preserve">Snacks y bocaditos</t>
  </si>
  <si>
    <t xml:space="preserve">piqueos</t>
  </si>
  <si>
    <t xml:space="preserve">Bocaditos; Snacks; Bebidas</t>
  </si>
  <si>
    <t xml:space="preserve">T029</t>
  </si>
  <si>
    <t xml:space="preserve">Empanadas y humitas</t>
  </si>
  <si>
    <t xml:space="preserve">humitas, tamales, empanadas</t>
  </si>
  <si>
    <t xml:space="preserve">Empanadas; Humitas; Tamales; Bebidas</t>
  </si>
  <si>
    <t xml:space="preserve">T030</t>
  </si>
  <si>
    <t xml:space="preserve">Bolonería</t>
  </si>
  <si>
    <t xml:space="preserve">bolones</t>
  </si>
  <si>
    <t xml:space="preserve">Bolones; Tigrillo; Bebidas</t>
  </si>
  <si>
    <t xml:space="preserve">T031</t>
  </si>
  <si>
    <t xml:space="preserve">Cocina solo delivery (dark kitchen)</t>
  </si>
  <si>
    <t xml:space="preserve">cocina fantasma</t>
  </si>
  <si>
    <t xml:space="preserve">T032</t>
  </si>
  <si>
    <t xml:space="preserve">Bar escolar / kiosco de colegio</t>
  </si>
  <si>
    <t xml:space="preserve">bar escolar</t>
  </si>
  <si>
    <t xml:space="preserve">Snacks; Bebidas; Almuerzos</t>
  </si>
  <si>
    <t xml:space="preserve">T033</t>
  </si>
  <si>
    <t xml:space="preserve">Panadería</t>
  </si>
  <si>
    <t xml:space="preserve">pan</t>
  </si>
  <si>
    <t xml:space="preserve">Panes; Pasteles; Bebidas; Lácteos</t>
  </si>
  <si>
    <t xml:space="preserve">T034</t>
  </si>
  <si>
    <t xml:space="preserve">Pastelería</t>
  </si>
  <si>
    <t xml:space="preserve">tortas, repostería</t>
  </si>
  <si>
    <t xml:space="preserve">Tortas; Postres; Bocaditos; Pedidos especiales</t>
  </si>
  <si>
    <t xml:space="preserve">Pedidos con anticipo</t>
  </si>
  <si>
    <t xml:space="preserve">T035</t>
  </si>
  <si>
    <t xml:space="preserve">Repostería en casa</t>
  </si>
  <si>
    <t xml:space="preserve">tortas por encargo</t>
  </si>
  <si>
    <t xml:space="preserve">Tortas; Cupcakes; Postres</t>
  </si>
  <si>
    <t xml:space="preserve">T036</t>
  </si>
  <si>
    <t xml:space="preserve">Chocolatería artesanal</t>
  </si>
  <si>
    <t xml:space="preserve">chocolates, cacao</t>
  </si>
  <si>
    <t xml:space="preserve">Barras; Bombones; Bebidas de cacao</t>
  </si>
  <si>
    <t xml:space="preserve">T037</t>
  </si>
  <si>
    <t xml:space="preserve">Fábrica de helados</t>
  </si>
  <si>
    <t xml:space="preserve">paletas</t>
  </si>
  <si>
    <t xml:space="preserve">Paletas; Litros; Conos</t>
  </si>
  <si>
    <t xml:space="preserve">T038</t>
  </si>
  <si>
    <t xml:space="preserve">Producción de snacks</t>
  </si>
  <si>
    <t xml:space="preserve">chifles, maduritos</t>
  </si>
  <si>
    <t xml:space="preserve">Chifles; Snacks; Paquetes</t>
  </si>
  <si>
    <t xml:space="preserve">T039</t>
  </si>
  <si>
    <t xml:space="preserve">Embutidos artesanales</t>
  </si>
  <si>
    <t xml:space="preserve">chorizos</t>
  </si>
  <si>
    <t xml:space="preserve">Embutidos; Carnes curadas</t>
  </si>
  <si>
    <t xml:space="preserve">Kilo</t>
  </si>
  <si>
    <t xml:space="preserve">T040</t>
  </si>
  <si>
    <t xml:space="preserve">Quesera / lácteos artesanales</t>
  </si>
  <si>
    <t xml:space="preserve">quesos, yogurt</t>
  </si>
  <si>
    <t xml:space="preserve">Quesos; Yogurt; Leche</t>
  </si>
  <si>
    <t xml:space="preserve">T041</t>
  </si>
  <si>
    <t xml:space="preserve">Cervecería artesanal</t>
  </si>
  <si>
    <t xml:space="preserve">cerveza artesanal</t>
  </si>
  <si>
    <t xml:space="preserve">Cervezas; Growlers; Barriles</t>
  </si>
  <si>
    <t xml:space="preserve">Litro</t>
  </si>
  <si>
    <t xml:space="preserve">T042</t>
  </si>
  <si>
    <t xml:space="preserve">Licores artesanales</t>
  </si>
  <si>
    <t xml:space="preserve">destilería</t>
  </si>
  <si>
    <t xml:space="preserve">Licores; Botellas</t>
  </si>
  <si>
    <t xml:space="preserve">Botella</t>
  </si>
  <si>
    <t xml:space="preserve">T043</t>
  </si>
  <si>
    <t xml:space="preserve">Mermeladas y conservas</t>
  </si>
  <si>
    <t xml:space="preserve">conservas</t>
  </si>
  <si>
    <t xml:space="preserve">Mermeladas; Conservas; Salsas</t>
  </si>
  <si>
    <t xml:space="preserve">T044</t>
  </si>
  <si>
    <t xml:space="preserve">Catering</t>
  </si>
  <si>
    <t xml:space="preserve">comida para eventos</t>
  </si>
  <si>
    <t xml:space="preserve">Menús; Bocaditos; Servicio</t>
  </si>
  <si>
    <t xml:space="preserve">Cotizaciones por evento</t>
  </si>
  <si>
    <t xml:space="preserve">T045</t>
  </si>
  <si>
    <t xml:space="preserve">Tienda de barrio</t>
  </si>
  <si>
    <t xml:space="preserve">tienda, abarrotes</t>
  </si>
  <si>
    <t xml:space="preserve">Abarrotes; Bebidas; Lácteos; Aseo; Snacks</t>
  </si>
  <si>
    <t xml:space="preserve">T046</t>
  </si>
  <si>
    <t xml:space="preserve">Minimarket</t>
  </si>
  <si>
    <t xml:space="preserve">minisúper</t>
  </si>
  <si>
    <t xml:space="preserve">Abarrotes; Bebidas; Lácteos; Aseo; Congelados</t>
  </si>
  <si>
    <t xml:space="preserve">T047</t>
  </si>
  <si>
    <t xml:space="preserve">Supermercado pequeño</t>
  </si>
  <si>
    <t xml:space="preserve">autoservicio</t>
  </si>
  <si>
    <t xml:space="preserve">Abarrotes; Frutas y verduras; Carnes; Aseo; Bebidas</t>
  </si>
  <si>
    <t xml:space="preserve">T048</t>
  </si>
  <si>
    <t xml:space="preserve">Despensa / víveres</t>
  </si>
  <si>
    <t xml:space="preserve">víveres</t>
  </si>
  <si>
    <t xml:space="preserve">Granos; Aceites; Enlatados; Aseo</t>
  </si>
  <si>
    <t xml:space="preserve">T049</t>
  </si>
  <si>
    <t xml:space="preserve">Frutería y verdulería</t>
  </si>
  <si>
    <t xml:space="preserve">frutas y verduras</t>
  </si>
  <si>
    <t xml:space="preserve">Frutas; Verduras; Tubérculos</t>
  </si>
  <si>
    <t xml:space="preserve">T050</t>
  </si>
  <si>
    <t xml:space="preserve">Carnicería / tercena</t>
  </si>
  <si>
    <t xml:space="preserve">carnes, tercena</t>
  </si>
  <si>
    <t xml:space="preserve">Res; Cerdo; Pollo; Embutidos</t>
  </si>
  <si>
    <t xml:space="preserve">Libra</t>
  </si>
  <si>
    <t xml:space="preserve">T051</t>
  </si>
  <si>
    <t xml:space="preserve">Pescadería</t>
  </si>
  <si>
    <t xml:space="preserve">mariscos, pescado</t>
  </si>
  <si>
    <t xml:space="preserve">Pescados; Camarón; Mariscos</t>
  </si>
  <si>
    <t xml:space="preserve">T052</t>
  </si>
  <si>
    <t xml:space="preserve">Avícola / venta de pollos</t>
  </si>
  <si>
    <t xml:space="preserve">pollos, huevos</t>
  </si>
  <si>
    <t xml:space="preserve">Pollo entero; Presas; Huevos</t>
  </si>
  <si>
    <t xml:space="preserve">T053</t>
  </si>
  <si>
    <t xml:space="preserve">Charcutería</t>
  </si>
  <si>
    <t xml:space="preserve">embutidos, quesos</t>
  </si>
  <si>
    <t xml:space="preserve">Embutidos; Quesos; Fiambres</t>
  </si>
  <si>
    <t xml:space="preserve">T054</t>
  </si>
  <si>
    <t xml:space="preserve">Licorería</t>
  </si>
  <si>
    <t xml:space="preserve">licores</t>
  </si>
  <si>
    <t xml:space="preserve">Cervezas; Licores; Vinos; Snacks</t>
  </si>
  <si>
    <t xml:space="preserve">T055</t>
  </si>
  <si>
    <t xml:space="preserve">Venta de agua y gas</t>
  </si>
  <si>
    <t xml:space="preserve">bidones, cilindros</t>
  </si>
  <si>
    <t xml:space="preserve">Agua; Gas; Recargas</t>
  </si>
  <si>
    <t xml:space="preserve">Envases retornables</t>
  </si>
  <si>
    <t xml:space="preserve">T056</t>
  </si>
  <si>
    <t xml:space="preserve">Tienda naturista</t>
  </si>
  <si>
    <t xml:space="preserve">productos naturales</t>
  </si>
  <si>
    <t xml:space="preserve">Suplementos; Hierbas; Granos</t>
  </si>
  <si>
    <t xml:space="preserve">T057</t>
  </si>
  <si>
    <t xml:space="preserve">Venta de huevos</t>
  </si>
  <si>
    <t xml:space="preserve">huevos</t>
  </si>
  <si>
    <t xml:space="preserve">Huevos; Cubetas</t>
  </si>
  <si>
    <t xml:space="preserve">Cubeta</t>
  </si>
  <si>
    <t xml:space="preserve">T058</t>
  </si>
  <si>
    <t xml:space="preserve">Puesto de mercado</t>
  </si>
  <si>
    <t xml:space="preserve">mercado municipal</t>
  </si>
  <si>
    <t xml:space="preserve">Productos del puesto</t>
  </si>
  <si>
    <t xml:space="preserve">T059</t>
  </si>
  <si>
    <t xml:space="preserve">Granos y cereales</t>
  </si>
  <si>
    <t xml:space="preserve">granos</t>
  </si>
  <si>
    <t xml:space="preserve">Arroz; Granos; Harinas</t>
  </si>
  <si>
    <t xml:space="preserve">T060</t>
  </si>
  <si>
    <t xml:space="preserve">Alimento para mascotas</t>
  </si>
  <si>
    <t xml:space="preserve">balanceado de mascotas</t>
  </si>
  <si>
    <t xml:space="preserve">Alimento perro; Alimento gato; Accesorios</t>
  </si>
  <si>
    <t xml:space="preserve">T061</t>
  </si>
  <si>
    <t xml:space="preserve">Tienda de ropa</t>
  </si>
  <si>
    <t xml:space="preserve">boutique, ropa</t>
  </si>
  <si>
    <t xml:space="preserve">Damas; Caballeros; Niños; Accesorios</t>
  </si>
  <si>
    <t xml:space="preserve">T062</t>
  </si>
  <si>
    <t xml:space="preserve">Zapatería</t>
  </si>
  <si>
    <t xml:space="preserve">zapatos, calzado</t>
  </si>
  <si>
    <t xml:space="preserve">Damas; Caballeros; Niños; Deportivo</t>
  </si>
  <si>
    <t xml:space="preserve">T063</t>
  </si>
  <si>
    <t xml:space="preserve">Ropa deportiva</t>
  </si>
  <si>
    <t xml:space="preserve">deportes</t>
  </si>
  <si>
    <t xml:space="preserve">Camisetas; Pantalonetas; Calzado; Accesorios</t>
  </si>
  <si>
    <t xml:space="preserve">T064</t>
  </si>
  <si>
    <t xml:space="preserve">Ropa de bebé y niños</t>
  </si>
  <si>
    <t xml:space="preserve">infantil</t>
  </si>
  <si>
    <t xml:space="preserve">Bebés; Niñas; Niños; Accesorios</t>
  </si>
  <si>
    <t xml:space="preserve">T065</t>
  </si>
  <si>
    <t xml:space="preserve">Lencería</t>
  </si>
  <si>
    <t xml:space="preserve">ropa interior</t>
  </si>
  <si>
    <t xml:space="preserve">Brasieres; Panties; Pijamas</t>
  </si>
  <si>
    <t xml:space="preserve">T066</t>
  </si>
  <si>
    <t xml:space="preserve">Uniformes</t>
  </si>
  <si>
    <t xml:space="preserve">uniformes escolares, corporativos</t>
  </si>
  <si>
    <t xml:space="preserve">Escolares; Corporativos; Deportivos</t>
  </si>
  <si>
    <t xml:space="preserve">Pedidos por institución</t>
  </si>
  <si>
    <t xml:space="preserve">T067</t>
  </si>
  <si>
    <t xml:space="preserve">Venta de ropa por redes</t>
  </si>
  <si>
    <t xml:space="preserve">venta por Instagram, TikTok</t>
  </si>
  <si>
    <t xml:space="preserve">Prendas; Accesorios</t>
  </si>
  <si>
    <t xml:space="preserve">Catálogo online activo</t>
  </si>
  <si>
    <t xml:space="preserve">T068</t>
  </si>
  <si>
    <t xml:space="preserve">Bolsos y carteras</t>
  </si>
  <si>
    <t xml:space="preserve">carteras</t>
  </si>
  <si>
    <t xml:space="preserve">Carteras; Mochilas; Billeteras</t>
  </si>
  <si>
    <t xml:space="preserve">T069</t>
  </si>
  <si>
    <t xml:space="preserve">Sastrería / trajes</t>
  </si>
  <si>
    <t xml:space="preserve">sastre, trajes</t>
  </si>
  <si>
    <t xml:space="preserve">Trajes; Camisas; Arreglos</t>
  </si>
  <si>
    <t xml:space="preserve">Arreglos como servicio</t>
  </si>
  <si>
    <t xml:space="preserve">T070</t>
  </si>
  <si>
    <t xml:space="preserve">Ropa de segunda mano</t>
  </si>
  <si>
    <t xml:space="preserve">ropa usada, americana</t>
  </si>
  <si>
    <t xml:space="preserve">Prendas; Calzado</t>
  </si>
  <si>
    <t xml:space="preserve">T071</t>
  </si>
  <si>
    <t xml:space="preserve">Óptica</t>
  </si>
  <si>
    <t xml:space="preserve">lentes, gafas</t>
  </si>
  <si>
    <t xml:space="preserve">Monturas; Lentes; Gafas de sol; Exámenes</t>
  </si>
  <si>
    <t xml:space="preserve">T072</t>
  </si>
  <si>
    <t xml:space="preserve">Joyería / bisutería</t>
  </si>
  <si>
    <t xml:space="preserve">joyas</t>
  </si>
  <si>
    <t xml:space="preserve">Anillos; Collares; Aretes; Relojes</t>
  </si>
  <si>
    <t xml:space="preserve">T073</t>
  </si>
  <si>
    <t xml:space="preserve">Bazar</t>
  </si>
  <si>
    <t xml:space="preserve">variedades</t>
  </si>
  <si>
    <t xml:space="preserve">Hogar; Plásticos; Regalos; Útiles</t>
  </si>
  <si>
    <t xml:space="preserve">T074</t>
  </si>
  <si>
    <t xml:space="preserve">Papelería y útiles escolares</t>
  </si>
  <si>
    <t xml:space="preserve">papelería</t>
  </si>
  <si>
    <t xml:space="preserve">Útiles; Cuadernos; Oficina; Copias</t>
  </si>
  <si>
    <t xml:space="preserve">T075</t>
  </si>
  <si>
    <t xml:space="preserve">Librería</t>
  </si>
  <si>
    <t xml:space="preserve">libros</t>
  </si>
  <si>
    <t xml:space="preserve">Libros; Revistas; Papelería</t>
  </si>
  <si>
    <t xml:space="preserve">T076</t>
  </si>
  <si>
    <t xml:space="preserve">Tienda de regalos</t>
  </si>
  <si>
    <t xml:space="preserve">regalos, detalles</t>
  </si>
  <si>
    <t xml:space="preserve">Regalos; Peluches; Tarjetas; Globos</t>
  </si>
  <si>
    <t xml:space="preserve">T077</t>
  </si>
  <si>
    <t xml:space="preserve">Juguetería</t>
  </si>
  <si>
    <t xml:space="preserve">juguetes</t>
  </si>
  <si>
    <t xml:space="preserve">Juguetes; Juegos; Didácticos</t>
  </si>
  <si>
    <t xml:space="preserve">T078</t>
  </si>
  <si>
    <t xml:space="preserve">Artículos para el hogar</t>
  </si>
  <si>
    <t xml:space="preserve">hogar</t>
  </si>
  <si>
    <t xml:space="preserve">Cocina; Baño; Decoración; Limpieza</t>
  </si>
  <si>
    <t xml:space="preserve">T079</t>
  </si>
  <si>
    <t xml:space="preserve">Plásticos y desechables</t>
  </si>
  <si>
    <t xml:space="preserve">desechables</t>
  </si>
  <si>
    <t xml:space="preserve">Desechables; Plásticos; Fundas</t>
  </si>
  <si>
    <t xml:space="preserve">T080</t>
  </si>
  <si>
    <t xml:space="preserve">Cosméticos y perfumería</t>
  </si>
  <si>
    <t xml:space="preserve">cosméticos, perfumes</t>
  </si>
  <si>
    <t xml:space="preserve">Maquillaje; Cuidado de piel; Perfumes</t>
  </si>
  <si>
    <t xml:space="preserve">T081</t>
  </si>
  <si>
    <t xml:space="preserve">Productos de limpieza</t>
  </si>
  <si>
    <t xml:space="preserve">químicos de limpieza</t>
  </si>
  <si>
    <t xml:space="preserve">Detergentes; Desinfectantes; Utensilios</t>
  </si>
  <si>
    <t xml:space="preserve">Galón</t>
  </si>
  <si>
    <t xml:space="preserve">T082</t>
  </si>
  <si>
    <t xml:space="preserve">Floristería</t>
  </si>
  <si>
    <t xml:space="preserve">flores, arreglos</t>
  </si>
  <si>
    <t xml:space="preserve">Arreglos; Ramos; Plantas</t>
  </si>
  <si>
    <t xml:space="preserve">Pedidos con fecha de entrega</t>
  </si>
  <si>
    <t xml:space="preserve">T083</t>
  </si>
  <si>
    <t xml:space="preserve">Artesanías</t>
  </si>
  <si>
    <t xml:space="preserve">artesanías</t>
  </si>
  <si>
    <t xml:space="preserve">Artesanías; Souvenirs</t>
  </si>
  <si>
    <t xml:space="preserve">T084</t>
  </si>
  <si>
    <t xml:space="preserve">Pet shop (accesorios)</t>
  </si>
  <si>
    <t xml:space="preserve">mascotas</t>
  </si>
  <si>
    <t xml:space="preserve">Accesorios; Juguetes; Higiene</t>
  </si>
  <si>
    <t xml:space="preserve">T085</t>
  </si>
  <si>
    <t xml:space="preserve">Artículos deportivos</t>
  </si>
  <si>
    <t xml:space="preserve">Balones; Implementos; Ropa</t>
  </si>
  <si>
    <t xml:space="preserve">T086</t>
  </si>
  <si>
    <t xml:space="preserve">Mueblería</t>
  </si>
  <si>
    <t xml:space="preserve">muebles</t>
  </si>
  <si>
    <t xml:space="preserve">Salas; Comedores; Dormitorios</t>
  </si>
  <si>
    <t xml:space="preserve">Venta a crédito</t>
  </si>
  <si>
    <t xml:space="preserve">T087</t>
  </si>
  <si>
    <t xml:space="preserve">Colchones</t>
  </si>
  <si>
    <t xml:space="preserve">colchonería</t>
  </si>
  <si>
    <t xml:space="preserve">Colchones; Almohadas; Bases</t>
  </si>
  <si>
    <t xml:space="preserve">T088</t>
  </si>
  <si>
    <t xml:space="preserve">Accesorios de moda</t>
  </si>
  <si>
    <t xml:space="preserve">bisutería menor</t>
  </si>
  <si>
    <t xml:space="preserve">Aretes; Pulseras; Accesorios de cabello</t>
  </si>
  <si>
    <t xml:space="preserve">T089</t>
  </si>
  <si>
    <t xml:space="preserve">Artículos de fiesta</t>
  </si>
  <si>
    <t xml:space="preserve">cotillón</t>
  </si>
  <si>
    <t xml:space="preserve">Globos; Decoración; Piñatas</t>
  </si>
  <si>
    <t xml:space="preserve">T090</t>
  </si>
  <si>
    <t xml:space="preserve">Tabaquería / vape shop</t>
  </si>
  <si>
    <t xml:space="preserve">tabaco</t>
  </si>
  <si>
    <t xml:space="preserve">Productos; Accesorios</t>
  </si>
  <si>
    <t xml:space="preserve">T091</t>
  </si>
  <si>
    <t xml:space="preserve">Souvenirs turísticos</t>
  </si>
  <si>
    <t xml:space="preserve">recuerdos</t>
  </si>
  <si>
    <t xml:space="preserve">Souvenirs; Camisetas; Artesanías</t>
  </si>
  <si>
    <t xml:space="preserve">T092</t>
  </si>
  <si>
    <t xml:space="preserve">Bicicletas</t>
  </si>
  <si>
    <t xml:space="preserve">bici</t>
  </si>
  <si>
    <t xml:space="preserve">Bicicletas; Repuestos; Accesorios</t>
  </si>
  <si>
    <t xml:space="preserve">T093</t>
  </si>
  <si>
    <t xml:space="preserve">Farmacia</t>
  </si>
  <si>
    <t xml:space="preserve">botica</t>
  </si>
  <si>
    <t xml:space="preserve">Medicamentos; Cuidado personal; Bebé; Primeros auxilios</t>
  </si>
  <si>
    <t xml:space="preserve">Venta por unidad o caja (fracción)</t>
  </si>
  <si>
    <t xml:space="preserve">T094</t>
  </si>
  <si>
    <t xml:space="preserve">Farmacia veterinaria</t>
  </si>
  <si>
    <t xml:space="preserve">veterinaria de mascotas</t>
  </si>
  <si>
    <t xml:space="preserve">Medicamentos; Vacunas; Alimentos</t>
  </si>
  <si>
    <t xml:space="preserve">T095</t>
  </si>
  <si>
    <t xml:space="preserve">Insumos médicos</t>
  </si>
  <si>
    <t xml:space="preserve">distribuidora médica</t>
  </si>
  <si>
    <t xml:space="preserve">Insumos; Equipos; Descartables</t>
  </si>
  <si>
    <t xml:space="preserve">T096</t>
  </si>
  <si>
    <t xml:space="preserve">Suplementos deportivos</t>
  </si>
  <si>
    <t xml:space="preserve">proteína, nutrición deportiva</t>
  </si>
  <si>
    <t xml:space="preserve">Proteínas; Vitaminas; Snacks</t>
  </si>
  <si>
    <t xml:space="preserve">T097</t>
  </si>
  <si>
    <t xml:space="preserve">Ortopedia</t>
  </si>
  <si>
    <t xml:space="preserve">artículos ortopédicos</t>
  </si>
  <si>
    <t xml:space="preserve">Plantillas; Fajas; Sillas de ruedas</t>
  </si>
  <si>
    <t xml:space="preserve">T098</t>
  </si>
  <si>
    <t xml:space="preserve">Homeopatía / productos naturales</t>
  </si>
  <si>
    <t xml:space="preserve">naturista</t>
  </si>
  <si>
    <t xml:space="preserve">Suplementos; Tés; Aceites</t>
  </si>
  <si>
    <t xml:space="preserve">T099</t>
  </si>
  <si>
    <t xml:space="preserve">Tienda de celulares</t>
  </si>
  <si>
    <t xml:space="preserve">celulares, móviles</t>
  </si>
  <si>
    <t xml:space="preserve">Celulares; Accesorios; Chips; Recargas</t>
  </si>
  <si>
    <t xml:space="preserve">IMEI obligatorio</t>
  </si>
  <si>
    <t xml:space="preserve">T100</t>
  </si>
  <si>
    <t xml:space="preserve">Accesorios para celulares</t>
  </si>
  <si>
    <t xml:space="preserve">fundas, cargadores</t>
  </si>
  <si>
    <t xml:space="preserve">Fundas; Cargadores; Audífonos; Micas</t>
  </si>
  <si>
    <t xml:space="preserve">T101</t>
  </si>
  <si>
    <t xml:space="preserve">Computadoras</t>
  </si>
  <si>
    <t xml:space="preserve">computación</t>
  </si>
  <si>
    <t xml:space="preserve">Laptops; Componentes; Periféricos</t>
  </si>
  <si>
    <t xml:space="preserve">T102</t>
  </si>
  <si>
    <t xml:space="preserve">Electrodomésticos</t>
  </si>
  <si>
    <t xml:space="preserve">línea blanca</t>
  </si>
  <si>
    <t xml:space="preserve">Refrigeración; Cocina; Lavado; Pequeños</t>
  </si>
  <si>
    <t xml:space="preserve">T103</t>
  </si>
  <si>
    <t xml:space="preserve">Videojuegos</t>
  </si>
  <si>
    <t xml:space="preserve">gaming</t>
  </si>
  <si>
    <t xml:space="preserve">Consolas; Juegos; Accesorios</t>
  </si>
  <si>
    <t xml:space="preserve">T104</t>
  </si>
  <si>
    <t xml:space="preserve">Cámaras de seguridad / CCTV</t>
  </si>
  <si>
    <t xml:space="preserve">seguridad electrónica</t>
  </si>
  <si>
    <t xml:space="preserve">Cámaras; DVR; Instalación</t>
  </si>
  <si>
    <t xml:space="preserve">T105</t>
  </si>
  <si>
    <t xml:space="preserve">Cyber / centro de cómputo</t>
  </si>
  <si>
    <t xml:space="preserve">internet, copias</t>
  </si>
  <si>
    <t xml:space="preserve">Horas de internet; Impresiones; Copias</t>
  </si>
  <si>
    <t xml:space="preserve">Cobro por tiempo</t>
  </si>
  <si>
    <t xml:space="preserve">T106</t>
  </si>
  <si>
    <t xml:space="preserve">Recargas y pagos de servicios</t>
  </si>
  <si>
    <t xml:space="preserve">punto de recargas</t>
  </si>
  <si>
    <t xml:space="preserve">Recargas; Pagos de servicios; Chips</t>
  </si>
  <si>
    <t xml:space="preserve">Comisión por transacción</t>
  </si>
  <si>
    <t xml:space="preserve">T107</t>
  </si>
  <si>
    <t xml:space="preserve">Electrónica y componentes</t>
  </si>
  <si>
    <t xml:space="preserve">componentes electrónicos</t>
  </si>
  <si>
    <t xml:space="preserve">Componentes; Cables; Herramientas</t>
  </si>
  <si>
    <t xml:space="preserve">T108</t>
  </si>
  <si>
    <t xml:space="preserve">Energía solar</t>
  </si>
  <si>
    <t xml:space="preserve">paneles solares</t>
  </si>
  <si>
    <t xml:space="preserve">Paneles; Baterías; Inversores; Instalación</t>
  </si>
  <si>
    <t xml:space="preserve">T109</t>
  </si>
  <si>
    <t xml:space="preserve">Ferretería</t>
  </si>
  <si>
    <t xml:space="preserve">ferretería</t>
  </si>
  <si>
    <t xml:space="preserve">Herramientas; Tornillería; Plomería; Eléctricos; Pintura</t>
  </si>
  <si>
    <t xml:space="preserve">T110</t>
  </si>
  <si>
    <t xml:space="preserve">Materiales de construcción</t>
  </si>
  <si>
    <t xml:space="preserve">bloques, cemento</t>
  </si>
  <si>
    <t xml:space="preserve">Cemento; Hierro; Bloques; Arena</t>
  </si>
  <si>
    <t xml:space="preserve">T111</t>
  </si>
  <si>
    <t xml:space="preserve">Pinturas</t>
  </si>
  <si>
    <t xml:space="preserve">tienda de pinturas</t>
  </si>
  <si>
    <t xml:space="preserve">Pinturas; Brochas; Diluyentes</t>
  </si>
  <si>
    <t xml:space="preserve">T112</t>
  </si>
  <si>
    <t xml:space="preserve">Materiales eléctricos</t>
  </si>
  <si>
    <t xml:space="preserve">eléctricos</t>
  </si>
  <si>
    <t xml:space="preserve">Cables; Breakers; Iluminación</t>
  </si>
  <si>
    <t xml:space="preserve">Metro</t>
  </si>
  <si>
    <t xml:space="preserve">T113</t>
  </si>
  <si>
    <t xml:space="preserve">Cerrajería</t>
  </si>
  <si>
    <t xml:space="preserve">llaves, cerraduras</t>
  </si>
  <si>
    <t xml:space="preserve">Cerraduras; Copias de llaves; Instalación</t>
  </si>
  <si>
    <t xml:space="preserve">T114</t>
  </si>
  <si>
    <t xml:space="preserve">Vidriería y aluminio</t>
  </si>
  <si>
    <t xml:space="preserve">vidrios</t>
  </si>
  <si>
    <t xml:space="preserve">Vidrios; Aluminio; Instalación</t>
  </si>
  <si>
    <t xml:space="preserve">T115</t>
  </si>
  <si>
    <t xml:space="preserve">Cerámica y acabados</t>
  </si>
  <si>
    <t xml:space="preserve">porcelanato, baldosas</t>
  </si>
  <si>
    <t xml:space="preserve">Pisos; Paredes; Sanitarios</t>
  </si>
  <si>
    <t xml:space="preserve">Metro cuadrado</t>
  </si>
  <si>
    <t xml:space="preserve">T116</t>
  </si>
  <si>
    <t xml:space="preserve">Maderera / aserradero</t>
  </si>
  <si>
    <t xml:space="preserve">madera</t>
  </si>
  <si>
    <t xml:space="preserve">Tablas; Tablones; Triplex</t>
  </si>
  <si>
    <t xml:space="preserve">T117</t>
  </si>
  <si>
    <t xml:space="preserve">Plomería y sanitarios</t>
  </si>
  <si>
    <t xml:space="preserve">gasfitería</t>
  </si>
  <si>
    <t xml:space="preserve">Tubos; Accesorios; Sanitarios</t>
  </si>
  <si>
    <t xml:space="preserve">T118</t>
  </si>
  <si>
    <t xml:space="preserve">Hierro y metales</t>
  </si>
  <si>
    <t xml:space="preserve">ferro</t>
  </si>
  <si>
    <t xml:space="preserve">Varillas; Tubos; Planchas</t>
  </si>
  <si>
    <t xml:space="preserve">T119</t>
  </si>
  <si>
    <t xml:space="preserve">Peluquería</t>
  </si>
  <si>
    <t xml:space="preserve">salón de belleza</t>
  </si>
  <si>
    <t xml:space="preserve">Cortes; Tintes; Tratamientos; Productos</t>
  </si>
  <si>
    <t xml:space="preserve">T120</t>
  </si>
  <si>
    <t xml:space="preserve">Barbería</t>
  </si>
  <si>
    <t xml:space="preserve">barber</t>
  </si>
  <si>
    <t xml:space="preserve">Cortes; Barba; Productos</t>
  </si>
  <si>
    <t xml:space="preserve">T121</t>
  </si>
  <si>
    <t xml:space="preserve">Spa</t>
  </si>
  <si>
    <t xml:space="preserve">masajes</t>
  </si>
  <si>
    <t xml:space="preserve">Masajes; Faciales; Paquetes</t>
  </si>
  <si>
    <t xml:space="preserve">T122</t>
  </si>
  <si>
    <t xml:space="preserve">Manicure y uñas</t>
  </si>
  <si>
    <t xml:space="preserve">uñas</t>
  </si>
  <si>
    <t xml:space="preserve">Manicure; Pedicure; Uñas acrílicas</t>
  </si>
  <si>
    <t xml:space="preserve">T123</t>
  </si>
  <si>
    <t xml:space="preserve">Centro de estética</t>
  </si>
  <si>
    <t xml:space="preserve">estética</t>
  </si>
  <si>
    <t xml:space="preserve">Faciales; Depilación; Tratamientos</t>
  </si>
  <si>
    <t xml:space="preserve">T124</t>
  </si>
  <si>
    <t xml:space="preserve">Pestañas y cejas</t>
  </si>
  <si>
    <t xml:space="preserve">lash</t>
  </si>
  <si>
    <t xml:space="preserve">Extensiones; Laminado; Diseño de cejas</t>
  </si>
  <si>
    <t xml:space="preserve">T125</t>
  </si>
  <si>
    <t xml:space="preserve">Tatuajes y piercing</t>
  </si>
  <si>
    <t xml:space="preserve">tattoo</t>
  </si>
  <si>
    <t xml:space="preserve">Tatuajes; Piercings; Cuidado</t>
  </si>
  <si>
    <t xml:space="preserve">Anticipo por cita</t>
  </si>
  <si>
    <t xml:space="preserve">T126</t>
  </si>
  <si>
    <t xml:space="preserve">Consultorio médico</t>
  </si>
  <si>
    <t xml:space="preserve">médico</t>
  </si>
  <si>
    <t xml:space="preserve">Consultas; Procedimientos; Certificados</t>
  </si>
  <si>
    <t xml:space="preserve">Ficha de paciente</t>
  </si>
  <si>
    <t xml:space="preserve">T127</t>
  </si>
  <si>
    <t xml:space="preserve">Consultorio odontológico</t>
  </si>
  <si>
    <t xml:space="preserve">dentista</t>
  </si>
  <si>
    <t xml:space="preserve">Consultas; Limpieza; Tratamientos</t>
  </si>
  <si>
    <t xml:space="preserve">Plan de tratamiento por paciente</t>
  </si>
  <si>
    <t xml:space="preserve">T128</t>
  </si>
  <si>
    <t xml:space="preserve">Clínica veterinaria</t>
  </si>
  <si>
    <t xml:space="preserve">veterinario</t>
  </si>
  <si>
    <t xml:space="preserve">Consultas; Vacunas; Baño y peluquería; Productos</t>
  </si>
  <si>
    <t xml:space="preserve">Ficha de mascota</t>
  </si>
  <si>
    <t xml:space="preserve">T129</t>
  </si>
  <si>
    <t xml:space="preserve">Psicología / terapia</t>
  </si>
  <si>
    <t xml:space="preserve">terapeuta</t>
  </si>
  <si>
    <t xml:space="preserve">Sesiones; Evaluaciones</t>
  </si>
  <si>
    <t xml:space="preserve">T130</t>
  </si>
  <si>
    <t xml:space="preserve">Fisioterapia</t>
  </si>
  <si>
    <t xml:space="preserve">rehabilitación</t>
  </si>
  <si>
    <t xml:space="preserve">Sesiones; Paquetes</t>
  </si>
  <si>
    <t xml:space="preserve">T131</t>
  </si>
  <si>
    <t xml:space="preserve">Nutricionista</t>
  </si>
  <si>
    <t xml:space="preserve">nutrición</t>
  </si>
  <si>
    <t xml:space="preserve">Consultas; Planes</t>
  </si>
  <si>
    <t xml:space="preserve">T132</t>
  </si>
  <si>
    <t xml:space="preserve">Laboratorio clínico</t>
  </si>
  <si>
    <t xml:space="preserve">exámenes</t>
  </si>
  <si>
    <t xml:space="preserve">Exámenes; Perfiles</t>
  </si>
  <si>
    <t xml:space="preserve">T133</t>
  </si>
  <si>
    <t xml:space="preserve">Peluquería canina</t>
  </si>
  <si>
    <t xml:space="preserve">grooming</t>
  </si>
  <si>
    <t xml:space="preserve">Baño; Corte; Productos</t>
  </si>
  <si>
    <t xml:space="preserve">T134</t>
  </si>
  <si>
    <t xml:space="preserve">Masajes a domicilio</t>
  </si>
  <si>
    <t xml:space="preserve">masajista</t>
  </si>
  <si>
    <t xml:space="preserve">Masajes; Paquetes</t>
  </si>
  <si>
    <t xml:space="preserve">T135</t>
  </si>
  <si>
    <t xml:space="preserve">Maquillaje profesional</t>
  </si>
  <si>
    <t xml:space="preserve">maquilladora</t>
  </si>
  <si>
    <t xml:space="preserve">Maquillaje social; Novias; Clases</t>
  </si>
  <si>
    <t xml:space="preserve">T136</t>
  </si>
  <si>
    <t xml:space="preserve">Fotografía</t>
  </si>
  <si>
    <t xml:space="preserve">fotógrafo, estudio</t>
  </si>
  <si>
    <t xml:space="preserve">Sesiones; Impresiones; Paquetes</t>
  </si>
  <si>
    <t xml:space="preserve">T137</t>
  </si>
  <si>
    <t xml:space="preserve">Taller mecánico</t>
  </si>
  <si>
    <t xml:space="preserve">mecánica automotriz</t>
  </si>
  <si>
    <t xml:space="preserve">Mano de obra; Repuestos; Lubricantes</t>
  </si>
  <si>
    <t xml:space="preserve">Ficha de vehículo por placa</t>
  </si>
  <si>
    <t xml:space="preserve">T138</t>
  </si>
  <si>
    <t xml:space="preserve">Lubricadora</t>
  </si>
  <si>
    <t xml:space="preserve">cambio de aceite</t>
  </si>
  <si>
    <t xml:space="preserve">Aceites; Filtros; Servicios</t>
  </si>
  <si>
    <t xml:space="preserve">Recordatorio por kilometraje</t>
  </si>
  <si>
    <t xml:space="preserve">T139</t>
  </si>
  <si>
    <t xml:space="preserve">Lavadora de autos</t>
  </si>
  <si>
    <t xml:space="preserve">car wash</t>
  </si>
  <si>
    <t xml:space="preserve">Lavados; Pulido; Aspirado</t>
  </si>
  <si>
    <t xml:space="preserve">T140</t>
  </si>
  <si>
    <t xml:space="preserve">Vulcanizadora / llantera</t>
  </si>
  <si>
    <t xml:space="preserve">llantas</t>
  </si>
  <si>
    <t xml:space="preserve">Llantas; Parches; Balanceo</t>
  </si>
  <si>
    <t xml:space="preserve">T141</t>
  </si>
  <si>
    <t xml:space="preserve">Taller de motos</t>
  </si>
  <si>
    <t xml:space="preserve">motos</t>
  </si>
  <si>
    <t xml:space="preserve">T142</t>
  </si>
  <si>
    <t xml:space="preserve">Repuestos automotrices</t>
  </si>
  <si>
    <t xml:space="preserve">repuestos</t>
  </si>
  <si>
    <t xml:space="preserve">Repuestos; Lubricantes; Accesorios</t>
  </si>
  <si>
    <t xml:space="preserve">T143</t>
  </si>
  <si>
    <t xml:space="preserve">Servicio técnico de celulares</t>
  </si>
  <si>
    <t xml:space="preserve">reparación de celulares</t>
  </si>
  <si>
    <t xml:space="preserve">Pantallas; Baterías; Reparaciones</t>
  </si>
  <si>
    <t xml:space="preserve">T144</t>
  </si>
  <si>
    <t xml:space="preserve">Servicio técnico de computadoras</t>
  </si>
  <si>
    <t xml:space="preserve">reparación de pc</t>
  </si>
  <si>
    <t xml:space="preserve">Mantenimiento; Reparaciones; Repuestos</t>
  </si>
  <si>
    <t xml:space="preserve">T145</t>
  </si>
  <si>
    <t xml:space="preserve">Reparación de electrodomésticos</t>
  </si>
  <si>
    <t xml:space="preserve">técnico línea blanca</t>
  </si>
  <si>
    <t xml:space="preserve">Reparaciones; Repuestos</t>
  </si>
  <si>
    <t xml:space="preserve">T146</t>
  </si>
  <si>
    <t xml:space="preserve">Tapicería</t>
  </si>
  <si>
    <t xml:space="preserve">tapicero</t>
  </si>
  <si>
    <t xml:space="preserve">Tapizado; Materiales</t>
  </si>
  <si>
    <t xml:space="preserve">T147</t>
  </si>
  <si>
    <t xml:space="preserve">Carpintería</t>
  </si>
  <si>
    <t xml:space="preserve">muebles a medida</t>
  </si>
  <si>
    <t xml:space="preserve">Muebles; Materiales; Mano de obra</t>
  </si>
  <si>
    <t xml:space="preserve">T148</t>
  </si>
  <si>
    <t xml:space="preserve">Metalmecánica / soldadura</t>
  </si>
  <si>
    <t xml:space="preserve">soldador</t>
  </si>
  <si>
    <t xml:space="preserve">Trabajos; Materiales</t>
  </si>
  <si>
    <t xml:space="preserve">T149</t>
  </si>
  <si>
    <t xml:space="preserve">Costura y arreglos</t>
  </si>
  <si>
    <t xml:space="preserve">modista</t>
  </si>
  <si>
    <t xml:space="preserve">Arreglos; Confección</t>
  </si>
  <si>
    <t xml:space="preserve">T150</t>
  </si>
  <si>
    <t xml:space="preserve">Reparación de calzado</t>
  </si>
  <si>
    <t xml:space="preserve">zapatero</t>
  </si>
  <si>
    <t xml:space="preserve">Reparaciones; Accesorios</t>
  </si>
  <si>
    <t xml:space="preserve">T151</t>
  </si>
  <si>
    <t xml:space="preserve">Imprenta y serigrafía</t>
  </si>
  <si>
    <t xml:space="preserve">imprenta, gigantografías</t>
  </si>
  <si>
    <t xml:space="preserve">Impresiones; Tarjetas; Serigrafía; Gigantografías</t>
  </si>
  <si>
    <t xml:space="preserve">T152</t>
  </si>
  <si>
    <t xml:space="preserve">Lavandería</t>
  </si>
  <si>
    <t xml:space="preserve">lavado de ropa</t>
  </si>
  <si>
    <t xml:space="preserve">Lavado por kilo; Planchado; Edredones</t>
  </si>
  <si>
    <t xml:space="preserve">T153</t>
  </si>
  <si>
    <t xml:space="preserve">Refrigeración y aire acondicionado</t>
  </si>
  <si>
    <t xml:space="preserve">técnico de aire</t>
  </si>
  <si>
    <t xml:space="preserve">Instalación; Mantenimiento; Repuestos</t>
  </si>
  <si>
    <t xml:space="preserve">T154</t>
  </si>
  <si>
    <t xml:space="preserve">Electricista / instalaciones</t>
  </si>
  <si>
    <t xml:space="preserve">eléctrico</t>
  </si>
  <si>
    <t xml:space="preserve">Instalaciones; Materiales</t>
  </si>
  <si>
    <t xml:space="preserve">T155</t>
  </si>
  <si>
    <t xml:space="preserve">Estudio contable</t>
  </si>
  <si>
    <t xml:space="preserve">contador</t>
  </si>
  <si>
    <t xml:space="preserve">Declaraciones; Contabilidad mensual; Asesorías</t>
  </si>
  <si>
    <t xml:space="preserve">Cobro mensual recurrente</t>
  </si>
  <si>
    <t xml:space="preserve">T156</t>
  </si>
  <si>
    <t xml:space="preserve">Estudio jurídico</t>
  </si>
  <si>
    <t xml:space="preserve">abogado</t>
  </si>
  <si>
    <t xml:space="preserve">Consultas; Trámites; Patrocinio</t>
  </si>
  <si>
    <t xml:space="preserve">T157</t>
  </si>
  <si>
    <t xml:space="preserve">Agencia de marketing</t>
  </si>
  <si>
    <t xml:space="preserve">publicidad</t>
  </si>
  <si>
    <t xml:space="preserve">Manejo de redes; Diseño; Campañas</t>
  </si>
  <si>
    <t xml:space="preserve">T158</t>
  </si>
  <si>
    <t xml:space="preserve">Diseño gráfico</t>
  </si>
  <si>
    <t xml:space="preserve">diseñador</t>
  </si>
  <si>
    <t xml:space="preserve">Logos; Artes; Paquetes</t>
  </si>
  <si>
    <t xml:space="preserve">T159</t>
  </si>
  <si>
    <t xml:space="preserve">Consultoría</t>
  </si>
  <si>
    <t xml:space="preserve">consultor</t>
  </si>
  <si>
    <t xml:space="preserve">Horas; Proyectos</t>
  </si>
  <si>
    <t xml:space="preserve">T160</t>
  </si>
  <si>
    <t xml:space="preserve">Arquitectura e ingeniería</t>
  </si>
  <si>
    <t xml:space="preserve">arquitecto, ingeniero</t>
  </si>
  <si>
    <t xml:space="preserve">Planos; Diseños; Supervisión</t>
  </si>
  <si>
    <t xml:space="preserve">T161</t>
  </si>
  <si>
    <t xml:space="preserve">Agencia de viajes</t>
  </si>
  <si>
    <t xml:space="preserve">turismo</t>
  </si>
  <si>
    <t xml:space="preserve">Paquetes; Boletos; Tours</t>
  </si>
  <si>
    <t xml:space="preserve">T162</t>
  </si>
  <si>
    <t xml:space="preserve">Agente de seguros</t>
  </si>
  <si>
    <t xml:space="preserve">seguros</t>
  </si>
  <si>
    <t xml:space="preserve">Pólizas; Renovaciones</t>
  </si>
  <si>
    <t xml:space="preserve">T163</t>
  </si>
  <si>
    <t xml:space="preserve">Bienes raíces</t>
  </si>
  <si>
    <t xml:space="preserve">inmobiliaria</t>
  </si>
  <si>
    <t xml:space="preserve">Ventas; Arriendos; Comisiones</t>
  </si>
  <si>
    <t xml:space="preserve">T164</t>
  </si>
  <si>
    <t xml:space="preserve">Servicios de limpieza</t>
  </si>
  <si>
    <t xml:space="preserve">limpieza</t>
  </si>
  <si>
    <t xml:space="preserve">Hogar; Oficinas; Limpieza profunda</t>
  </si>
  <si>
    <t xml:space="preserve">T165</t>
  </si>
  <si>
    <t xml:space="preserve">Transporte y fletes</t>
  </si>
  <si>
    <t xml:space="preserve">mudanzas, carga</t>
  </si>
  <si>
    <t xml:space="preserve">Fletes; Mudanzas; Encomiendas</t>
  </si>
  <si>
    <t xml:space="preserve">T166</t>
  </si>
  <si>
    <t xml:space="preserve">Courier / encomiendas</t>
  </si>
  <si>
    <t xml:space="preserve">envíos</t>
  </si>
  <si>
    <t xml:space="preserve">Envíos locales; Nacionales</t>
  </si>
  <si>
    <t xml:space="preserve">T167</t>
  </si>
  <si>
    <t xml:space="preserve">Trámites y gestoría</t>
  </si>
  <si>
    <t xml:space="preserve">tramitador</t>
  </si>
  <si>
    <t xml:space="preserve">Trámites; Matriculación</t>
  </si>
  <si>
    <t xml:space="preserve">T168</t>
  </si>
  <si>
    <t xml:space="preserve">Desarrollo de software / TI</t>
  </si>
  <si>
    <t xml:space="preserve">programador</t>
  </si>
  <si>
    <t xml:space="preserve">Proyectos; Soporte; Hosting</t>
  </si>
  <si>
    <t xml:space="preserve">T169</t>
  </si>
  <si>
    <t xml:space="preserve">Seguridad privada</t>
  </si>
  <si>
    <t xml:space="preserve">guardianía</t>
  </si>
  <si>
    <t xml:space="preserve">Servicio mensual; Eventos</t>
  </si>
  <si>
    <t xml:space="preserve">T170</t>
  </si>
  <si>
    <t xml:space="preserve">Distribuidora de abarrotes</t>
  </si>
  <si>
    <t xml:space="preserve">mayorista de abarrotes</t>
  </si>
  <si>
    <t xml:space="preserve">Abarrotes; Bebidas; Aseo</t>
  </si>
  <si>
    <t xml:space="preserve">T171</t>
  </si>
  <si>
    <t xml:space="preserve">Distribuidora de bebidas</t>
  </si>
  <si>
    <t xml:space="preserve">bebidas al por mayor</t>
  </si>
  <si>
    <t xml:space="preserve">Gaseosas; Aguas; Cervezas; Energizantes</t>
  </si>
  <si>
    <t xml:space="preserve">T172</t>
  </si>
  <si>
    <t xml:space="preserve">Distribuidora de licores</t>
  </si>
  <si>
    <t xml:space="preserve">licores al por mayor</t>
  </si>
  <si>
    <t xml:space="preserve">Licores; Cervezas; Vinos</t>
  </si>
  <si>
    <t xml:space="preserve">T173</t>
  </si>
  <si>
    <t xml:space="preserve">Distribuidora de snacks y confites</t>
  </si>
  <si>
    <t xml:space="preserve">confites</t>
  </si>
  <si>
    <t xml:space="preserve">Snacks; Caramelos; Galletas</t>
  </si>
  <si>
    <t xml:space="preserve">T174</t>
  </si>
  <si>
    <t xml:space="preserve">Distribuidora de limpieza</t>
  </si>
  <si>
    <t xml:space="preserve">químicos al por mayor</t>
  </si>
  <si>
    <t xml:space="preserve">Limpieza; Aseo personal</t>
  </si>
  <si>
    <t xml:space="preserve">T175</t>
  </si>
  <si>
    <t xml:space="preserve">Distribuidora de desechables</t>
  </si>
  <si>
    <t xml:space="preserve">desechables al por mayor</t>
  </si>
  <si>
    <t xml:space="preserve">Desechables; Fundas; Envases</t>
  </si>
  <si>
    <t xml:space="preserve">T176</t>
  </si>
  <si>
    <t xml:space="preserve">Distribuidora de papelería</t>
  </si>
  <si>
    <t xml:space="preserve">papelería al por mayor</t>
  </si>
  <si>
    <t xml:space="preserve">Útiles; Papel; Oficina</t>
  </si>
  <si>
    <t xml:space="preserve">T177</t>
  </si>
  <si>
    <t xml:space="preserve">Importadora</t>
  </si>
  <si>
    <t xml:space="preserve">importador</t>
  </si>
  <si>
    <t xml:space="preserve">Productos importados</t>
  </si>
  <si>
    <t xml:space="preserve">Costos de importación</t>
  </si>
  <si>
    <t xml:space="preserve">T178</t>
  </si>
  <si>
    <t xml:space="preserve">Venta por catálogo</t>
  </si>
  <si>
    <t xml:space="preserve">revendedora, multinivel</t>
  </si>
  <si>
    <t xml:space="preserve">Productos del catálogo</t>
  </si>
  <si>
    <t xml:space="preserve">Pedidos por campaña</t>
  </si>
  <si>
    <t xml:space="preserve">T179</t>
  </si>
  <si>
    <t xml:space="preserve">Distribuidora de huevos y lácteos</t>
  </si>
  <si>
    <t xml:space="preserve">lácteos al por mayor</t>
  </si>
  <si>
    <t xml:space="preserve">Huevos; Leche; Quesos</t>
  </si>
  <si>
    <t xml:space="preserve">T180</t>
  </si>
  <si>
    <t xml:space="preserve">Distribuidora de carnes</t>
  </si>
  <si>
    <t xml:space="preserve">cárnicos</t>
  </si>
  <si>
    <t xml:space="preserve">Carnes; Embutidos</t>
  </si>
  <si>
    <t xml:space="preserve">T181</t>
  </si>
  <si>
    <t xml:space="preserve">Droguería / distribuidora de medicinas</t>
  </si>
  <si>
    <t xml:space="preserve">medicinas al por mayor</t>
  </si>
  <si>
    <t xml:space="preserve">Medicamentos; Insumos</t>
  </si>
  <si>
    <t xml:space="preserve">T182</t>
  </si>
  <si>
    <t xml:space="preserve">Almacén agrícola / agroquímicos</t>
  </si>
  <si>
    <t xml:space="preserve">agroquímica, insumos agrícolas</t>
  </si>
  <si>
    <t xml:space="preserve">Fertilizantes; Herbicidas; Fungicidas; Semillas</t>
  </si>
  <si>
    <t xml:space="preserve">T183</t>
  </si>
  <si>
    <t xml:space="preserve">Agroveterinaria</t>
  </si>
  <si>
    <t xml:space="preserve">veterinaria agropecuaria</t>
  </si>
  <si>
    <t xml:space="preserve">Medicinas; Vacunas; Balanceados; Herramientas</t>
  </si>
  <si>
    <t xml:space="preserve">T184</t>
  </si>
  <si>
    <t xml:space="preserve">Venta de balanceados</t>
  </si>
  <si>
    <t xml:space="preserve">balanceado</t>
  </si>
  <si>
    <t xml:space="preserve">Aves; Cerdos; Ganado; Peces</t>
  </si>
  <si>
    <t xml:space="preserve">T185</t>
  </si>
  <si>
    <t xml:space="preserve">Centro de acopio de cacao</t>
  </si>
  <si>
    <t xml:space="preserve">compra de cacao</t>
  </si>
  <si>
    <t xml:space="preserve">Cacao en baba; Cacao seco</t>
  </si>
  <si>
    <t xml:space="preserve">Compra a productores con descuento por humedad</t>
  </si>
  <si>
    <t xml:space="preserve">T186</t>
  </si>
  <si>
    <t xml:space="preserve">Piladora de arroz</t>
  </si>
  <si>
    <t xml:space="preserve">piladora</t>
  </si>
  <si>
    <t xml:space="preserve">Arroz pilado; Arrocillo; Polvillo</t>
  </si>
  <si>
    <t xml:space="preserve">Servicio de pilado y compra de arroz en cáscara</t>
  </si>
  <si>
    <t xml:space="preserve">T187</t>
  </si>
  <si>
    <t xml:space="preserve">Acopio de maíz</t>
  </si>
  <si>
    <t xml:space="preserve">compra de maíz</t>
  </si>
  <si>
    <t xml:space="preserve">Maíz amarillo</t>
  </si>
  <si>
    <t xml:space="preserve">T188</t>
  </si>
  <si>
    <t xml:space="preserve">Acopio de café</t>
  </si>
  <si>
    <t xml:space="preserve">compra de café</t>
  </si>
  <si>
    <t xml:space="preserve">Café en grano; Café seco</t>
  </si>
  <si>
    <t xml:space="preserve">Compra a productores</t>
  </si>
  <si>
    <t xml:space="preserve">T189</t>
  </si>
  <si>
    <t xml:space="preserve">Vivero / semillas y plantas</t>
  </si>
  <si>
    <t xml:space="preserve">vivero</t>
  </si>
  <si>
    <t xml:space="preserve">Semillas; Plantas; Sustratos</t>
  </si>
  <si>
    <t xml:space="preserve">T190</t>
  </si>
  <si>
    <t xml:space="preserve">Venta de ganado</t>
  </si>
  <si>
    <t xml:space="preserve">ganadería</t>
  </si>
  <si>
    <t xml:space="preserve">Bovinos; Porcinos</t>
  </si>
  <si>
    <t xml:space="preserve">Venta por cabeza o por peso</t>
  </si>
  <si>
    <t xml:space="preserve">T191</t>
  </si>
  <si>
    <t xml:space="preserve">Venta de camarón</t>
  </si>
  <si>
    <t xml:space="preserve">camaronera</t>
  </si>
  <si>
    <t xml:space="preserve">Camarón por talla</t>
  </si>
  <si>
    <t xml:space="preserve">T192</t>
  </si>
  <si>
    <t xml:space="preserve">Venta de banano</t>
  </si>
  <si>
    <t xml:space="preserve">bananera</t>
  </si>
  <si>
    <t xml:space="preserve">Cajas de banano</t>
  </si>
  <si>
    <t xml:space="preserve">T193</t>
  </si>
  <si>
    <t xml:space="preserve">Maquinaria agrícola</t>
  </si>
  <si>
    <t xml:space="preserve">motosierras, bombas</t>
  </si>
  <si>
    <t xml:space="preserve">Bombas; Motosierras; Repuestos</t>
  </si>
  <si>
    <t xml:space="preserve">T194</t>
  </si>
  <si>
    <t xml:space="preserve">Riego agrícola</t>
  </si>
  <si>
    <t xml:space="preserve">sistemas de riego</t>
  </si>
  <si>
    <t xml:space="preserve">Tuberías; Aspersores; Instalación</t>
  </si>
  <si>
    <t xml:space="preserve">T195</t>
  </si>
  <si>
    <t xml:space="preserve">Gimnasio</t>
  </si>
  <si>
    <t xml:space="preserve">gym</t>
  </si>
  <si>
    <t xml:space="preserve">Mensualidades; Pases diarios; Suplementos</t>
  </si>
  <si>
    <t xml:space="preserve">T196</t>
  </si>
  <si>
    <t xml:space="preserve">Academia de baile</t>
  </si>
  <si>
    <t xml:space="preserve">baile</t>
  </si>
  <si>
    <t xml:space="preserve">Mensualidades; Clases sueltas</t>
  </si>
  <si>
    <t xml:space="preserve">T197</t>
  </si>
  <si>
    <t xml:space="preserve">Escuela de fútbol</t>
  </si>
  <si>
    <t xml:space="preserve">club deportivo</t>
  </si>
  <si>
    <t xml:space="preserve">Mensualidades; Uniformes; Torneos</t>
  </si>
  <si>
    <t xml:space="preserve">T198</t>
  </si>
  <si>
    <t xml:space="preserve">Centro de tutorías</t>
  </si>
  <si>
    <t xml:space="preserve">refuerzo escolar</t>
  </si>
  <si>
    <t xml:space="preserve">Mensualidades; Clases</t>
  </si>
  <si>
    <t xml:space="preserve">T199</t>
  </si>
  <si>
    <t xml:space="preserve">Escuela de idiomas</t>
  </si>
  <si>
    <t xml:space="preserve">inglés</t>
  </si>
  <si>
    <t xml:space="preserve">Niveles; Materiales</t>
  </si>
  <si>
    <t xml:space="preserve">T200</t>
  </si>
  <si>
    <t xml:space="preserve">Escuela de música</t>
  </si>
  <si>
    <t xml:space="preserve">música</t>
  </si>
  <si>
    <t xml:space="preserve">Mensualidades; Instrumentos</t>
  </si>
  <si>
    <t xml:space="preserve">T201</t>
  </si>
  <si>
    <t xml:space="preserve">Guardería / centro infantil</t>
  </si>
  <si>
    <t xml:space="preserve">guardería</t>
  </si>
  <si>
    <t xml:space="preserve">Mensualidades; Alimentación</t>
  </si>
  <si>
    <t xml:space="preserve">T202</t>
  </si>
  <si>
    <t xml:space="preserve">Escuela de conducción</t>
  </si>
  <si>
    <t xml:space="preserve">autoescuela</t>
  </si>
  <si>
    <t xml:space="preserve">Cursos; Clases prácticas</t>
  </si>
  <si>
    <t xml:space="preserve">T203</t>
  </si>
  <si>
    <t xml:space="preserve">Yoga / pilates / crossfit</t>
  </si>
  <si>
    <t xml:space="preserve">estudio fitness</t>
  </si>
  <si>
    <t xml:space="preserve">Membresías; Clases</t>
  </si>
  <si>
    <t xml:space="preserve">T204</t>
  </si>
  <si>
    <t xml:space="preserve">Cancha sintética</t>
  </si>
  <si>
    <t xml:space="preserve">alquiler de canchas</t>
  </si>
  <si>
    <t xml:space="preserve">Horas de cancha; Bebidas</t>
  </si>
  <si>
    <t xml:space="preserve">Hora</t>
  </si>
  <si>
    <t xml:space="preserve">Reserva por hora</t>
  </si>
  <si>
    <t xml:space="preserve">T205</t>
  </si>
  <si>
    <t xml:space="preserve">Piscina / balneario</t>
  </si>
  <si>
    <t xml:space="preserve">balneario</t>
  </si>
  <si>
    <t xml:space="preserve">Entradas; Membresías; Bar</t>
  </si>
  <si>
    <t xml:space="preserve">T206</t>
  </si>
  <si>
    <t xml:space="preserve">Hostal / hotel pequeño</t>
  </si>
  <si>
    <t xml:space="preserve">hospedaje</t>
  </si>
  <si>
    <t xml:space="preserve">Habitaciones; Desayunos; Servicios</t>
  </si>
  <si>
    <t xml:space="preserve">T207</t>
  </si>
  <si>
    <t xml:space="preserve">Cabañas / hostería</t>
  </si>
  <si>
    <t xml:space="preserve">hostería</t>
  </si>
  <si>
    <t xml:space="preserve">Cabañas; Alimentación; Actividades</t>
  </si>
  <si>
    <t xml:space="preserve">T208</t>
  </si>
  <si>
    <t xml:space="preserve">Salón de eventos</t>
  </si>
  <si>
    <t xml:space="preserve">alquiler de salón</t>
  </si>
  <si>
    <t xml:space="preserve">Alquiler; Decoración; Menaje</t>
  </si>
  <si>
    <t xml:space="preserve">T209</t>
  </si>
  <si>
    <t xml:space="preserve">Alquiler de sillas y mesas</t>
  </si>
  <si>
    <t xml:space="preserve">alquiler de menaje</t>
  </si>
  <si>
    <t xml:space="preserve">Sillas; Mesas; Carpas</t>
  </si>
  <si>
    <t xml:space="preserve">Día</t>
  </si>
  <si>
    <t xml:space="preserve">T210</t>
  </si>
  <si>
    <t xml:space="preserve">Organización de eventos</t>
  </si>
  <si>
    <t xml:space="preserve">wedding planner</t>
  </si>
  <si>
    <t xml:space="preserve">Paquetes; Decoración; Coordinación</t>
  </si>
  <si>
    <t xml:space="preserve">T211</t>
  </si>
  <si>
    <t xml:space="preserve">Decoración de eventos</t>
  </si>
  <si>
    <t xml:space="preserve">decoradora</t>
  </si>
  <si>
    <t xml:space="preserve">Decoración; Globos; Flores</t>
  </si>
  <si>
    <t xml:space="preserve">T212</t>
  </si>
  <si>
    <t xml:space="preserve">Alquiler de vehículos</t>
  </si>
  <si>
    <t xml:space="preserve">rent a car</t>
  </si>
  <si>
    <t xml:space="preserve">Vehículos</t>
  </si>
  <si>
    <t xml:space="preserve">T213</t>
  </si>
  <si>
    <t xml:space="preserve">Alquiler de trajes y disfraces</t>
  </si>
  <si>
    <t xml:space="preserve">disfraces</t>
  </si>
  <si>
    <t xml:space="preserve">Trajes; Disfraces</t>
  </si>
  <si>
    <t xml:space="preserve">T214</t>
  </si>
  <si>
    <t xml:space="preserve">Inflables y juegos infantiles</t>
  </si>
  <si>
    <t xml:space="preserve">brincolines</t>
  </si>
  <si>
    <t xml:space="preserve">Inflables; Juegos</t>
  </si>
  <si>
    <t xml:space="preserve">T215</t>
  </si>
  <si>
    <t xml:space="preserve">Tours y turismo local</t>
  </si>
  <si>
    <t xml:space="preserve">operadora turística</t>
  </si>
  <si>
    <t xml:space="preserve">Tours; Paquetes; Transporte</t>
  </si>
  <si>
    <t xml:space="preserve">T216</t>
  </si>
  <si>
    <t xml:space="preserve">Parqueadero</t>
  </si>
  <si>
    <t xml:space="preserve">estacionamiento</t>
  </si>
  <si>
    <t xml:space="preserve">Por hora; Mensualidad</t>
  </si>
  <si>
    <t xml:space="preserve">Categoría</t>
  </si>
  <si>
    <t xml:space="preserve">Producto / servicio de ejemplo</t>
  </si>
  <si>
    <t xml:space="preserve">Unidad / variantes</t>
  </si>
  <si>
    <t xml:space="preserve">Abarrotes</t>
  </si>
  <si>
    <t xml:space="preserve">Arroz 1 kg</t>
  </si>
  <si>
    <t xml:space="preserve">Azúcar 1 kg</t>
  </si>
  <si>
    <t xml:space="preserve">Aceite 1 L</t>
  </si>
  <si>
    <t xml:space="preserve">Atún en lata</t>
  </si>
  <si>
    <t xml:space="preserve">Bebidas</t>
  </si>
  <si>
    <t xml:space="preserve">Gaseosa 1.35 L</t>
  </si>
  <si>
    <t xml:space="preserve">Agua 625 ml</t>
  </si>
  <si>
    <t xml:space="preserve">Lácteos</t>
  </si>
  <si>
    <t xml:space="preserve">Leche 1 L</t>
  </si>
  <si>
    <t xml:space="preserve">Queso fresco</t>
  </si>
  <si>
    <t xml:space="preserve">Aseo</t>
  </si>
  <si>
    <t xml:space="preserve">Papel higiénico x4</t>
  </si>
  <si>
    <t xml:space="preserve">Detergente 500 g</t>
  </si>
  <si>
    <t xml:space="preserve">Snacks</t>
  </si>
  <si>
    <t xml:space="preserve">Papas fritas</t>
  </si>
  <si>
    <t xml:space="preserve">Pan</t>
  </si>
  <si>
    <t xml:space="preserve">Ceviches</t>
  </si>
  <si>
    <t xml:space="preserve">Ceviche de camarón</t>
  </si>
  <si>
    <t xml:space="preserve">Plato</t>
  </si>
  <si>
    <t xml:space="preserve">Ceviche de pescado</t>
  </si>
  <si>
    <t xml:space="preserve">Ceviche mixto</t>
  </si>
  <si>
    <t xml:space="preserve">Mariscos</t>
  </si>
  <si>
    <t xml:space="preserve">Arroz marinero</t>
  </si>
  <si>
    <t xml:space="preserve">Encocado de pescado</t>
  </si>
  <si>
    <t xml:space="preserve">Acompañantes</t>
  </si>
  <si>
    <t xml:space="preserve">Chifles</t>
  </si>
  <si>
    <t xml:space="preserve">Porción</t>
  </si>
  <si>
    <t xml:space="preserve">Canguil</t>
  </si>
  <si>
    <t xml:space="preserve">Cerveza</t>
  </si>
  <si>
    <t xml:space="preserve">Jugo natural</t>
  </si>
  <si>
    <t xml:space="preserve">Vaso</t>
  </si>
  <si>
    <t xml:space="preserve">Gaseosa personal</t>
  </si>
  <si>
    <t xml:space="preserve">Cortes</t>
  </si>
  <si>
    <t xml:space="preserve">Corte dama</t>
  </si>
  <si>
    <t xml:space="preserve">Corte caballero</t>
  </si>
  <si>
    <t xml:space="preserve">Tintes</t>
  </si>
  <si>
    <t xml:space="preserve">Tinte completo</t>
  </si>
  <si>
    <t xml:space="preserve">Mechas / balayage</t>
  </si>
  <si>
    <t xml:space="preserve">Tratamientos</t>
  </si>
  <si>
    <t xml:space="preserve">Keratina</t>
  </si>
  <si>
    <t xml:space="preserve">Hidratación</t>
  </si>
  <si>
    <t xml:space="preserve">Peinados</t>
  </si>
  <si>
    <t xml:space="preserve">Cepillado</t>
  </si>
  <si>
    <t xml:space="preserve">Peinado de evento</t>
  </si>
  <si>
    <t xml:space="preserve">Shampoo</t>
  </si>
  <si>
    <t xml:space="preserve">Acondicionador</t>
  </si>
  <si>
    <t xml:space="preserve">Fertilizantes</t>
  </si>
  <si>
    <t xml:space="preserve">Urea 50 kg</t>
  </si>
  <si>
    <t xml:space="preserve">Saco</t>
  </si>
  <si>
    <t xml:space="preserve">DAP 50 kg</t>
  </si>
  <si>
    <t xml:space="preserve">Muriato de potasio 50 kg</t>
  </si>
  <si>
    <t xml:space="preserve">Herbicidas</t>
  </si>
  <si>
    <t xml:space="preserve">Herbicida sistémico 1 L</t>
  </si>
  <si>
    <t xml:space="preserve">Herbicida de contacto 1 L</t>
  </si>
  <si>
    <t xml:space="preserve">Fungicidas</t>
  </si>
  <si>
    <t xml:space="preserve">Fungicida cúprico 1 kg</t>
  </si>
  <si>
    <t xml:space="preserve">Insecticidas</t>
  </si>
  <si>
    <t xml:space="preserve">Insecticida 1 L</t>
  </si>
  <si>
    <t xml:space="preserve">Semillas</t>
  </si>
  <si>
    <t xml:space="preserve">Semilla de maíz</t>
  </si>
  <si>
    <t xml:space="preserve">Semilla de arroz</t>
  </si>
  <si>
    <t xml:space="preserve">Herramientas</t>
  </si>
  <si>
    <t xml:space="preserve">Machete</t>
  </si>
  <si>
    <t xml:space="preserve">Bomba de fumigar 20 L</t>
  </si>
  <si>
    <t xml:space="preserve">Mano de obra</t>
  </si>
  <si>
    <t xml:space="preserve">Diagnóstico</t>
  </si>
  <si>
    <t xml:space="preserve">Afinamiento</t>
  </si>
  <si>
    <t xml:space="preserve">Cambio de pastillas</t>
  </si>
  <si>
    <t xml:space="preserve">ABC de frenos</t>
  </si>
  <si>
    <t xml:space="preserve">Repuestos</t>
  </si>
  <si>
    <t xml:space="preserve">Pastillas de freno</t>
  </si>
  <si>
    <t xml:space="preserve">Juego</t>
  </si>
  <si>
    <t xml:space="preserve">Filtro de aceite</t>
  </si>
  <si>
    <t xml:space="preserve">Filtro de aire</t>
  </si>
  <si>
    <t xml:space="preserve">Bujías</t>
  </si>
  <si>
    <t xml:space="preserve">Lubricantes</t>
  </si>
  <si>
    <t xml:space="preserve">Aceite de motor 20W50</t>
  </si>
  <si>
    <t xml:space="preserve">Líquido de frenos</t>
  </si>
  <si>
    <t xml:space="preserve">Damas</t>
  </si>
  <si>
    <t xml:space="preserve">Blusa</t>
  </si>
  <si>
    <t xml:space="preserve">Talla S/M/L · color</t>
  </si>
  <si>
    <t xml:space="preserve">Jean dama</t>
  </si>
  <si>
    <t xml:space="preserve">Talla 26-36</t>
  </si>
  <si>
    <t xml:space="preserve">Vestido</t>
  </si>
  <si>
    <t xml:space="preserve">Talla · color</t>
  </si>
  <si>
    <t xml:space="preserve">Caballeros</t>
  </si>
  <si>
    <t xml:space="preserve">Camisa</t>
  </si>
  <si>
    <t xml:space="preserve">Talla S-XL · color</t>
  </si>
  <si>
    <t xml:space="preserve">Jean caballero</t>
  </si>
  <si>
    <t xml:space="preserve">Talla 28-40</t>
  </si>
  <si>
    <t xml:space="preserve">Camiseta</t>
  </si>
  <si>
    <t xml:space="preserve">Niños</t>
  </si>
  <si>
    <t xml:space="preserve">Conjunto infantil</t>
  </si>
  <si>
    <t xml:space="preserve">Talla 2-12</t>
  </si>
  <si>
    <t xml:space="preserve">Accesorios</t>
  </si>
  <si>
    <t xml:space="preserve">Correa</t>
  </si>
  <si>
    <t xml:space="preserve">Gorra</t>
  </si>
  <si>
    <t xml:space="preserve">Sin precios: el usuario pone los suyos o la IA sugiere referencias durante el alta. Estas 6 fichas muestran el formato; el resto se genera igual.</t>
  </si>
  <si>
    <t xml:space="preserve">Paso</t>
  </si>
  <si>
    <t xml:space="preserve">Pantalla</t>
  </si>
  <si>
    <t xml:space="preserve">Qué ve o responde el usuario</t>
  </si>
  <si>
    <t xml:space="preserve">Qué hace el sistema</t>
  </si>
  <si>
    <t xml:space="preserve">Número de celular</t>
  </si>
  <si>
    <t xml:space="preserve">¿Cuál es tu número?</t>
  </si>
  <si>
    <t xml:space="preserve">Envía un código por WhatsApp; crea el usuario sin contraseña</t>
  </si>
  <si>
    <t xml:space="preserve">Código</t>
  </si>
  <si>
    <t xml:space="preserve">Ingresa el código de 6 dígitos</t>
  </si>
  <si>
    <t xml:space="preserve">Valida y abre sesión</t>
  </si>
  <si>
    <t xml:space="preserve">¿Qué negocio tienes? (buscador con sugerencias)</t>
  </si>
  <si>
    <t xml:space="preserve">Busca por nombre y sinónimos en la hoja Tipos de negocio; si no hay coincidencia, la IA asigna la familia más cercana y genera la ficha</t>
  </si>
  <si>
    <t xml:space="preserve">Nombre del negocio</t>
  </si>
  <si>
    <t xml:space="preserve">¿Cómo se llama tu negocio?</t>
  </si>
  <si>
    <t xml:space="preserve">Crea el negocio y aplica la familia: activa los módulos marcados S</t>
  </si>
  <si>
    <t xml:space="preserve">RUC (opcional)</t>
  </si>
  <si>
    <t xml:space="preserve">¿Tienes RUC? (se puede saltar)</t>
  </si>
  <si>
    <t xml:space="preserve">Consulta el SRI: razón social, régimen RIMPE o general, dirección; deja lista la facturación</t>
  </si>
  <si>
    <t xml:space="preserve">Carga inicial</t>
  </si>
  <si>
    <t xml:space="preserve">(automático)</t>
  </si>
  <si>
    <t xml:space="preserve">Crea categorías y productos de ejemplo de la ficha, unidades, vocabulario y métodos de pago de Ecuador</t>
  </si>
  <si>
    <t xml:space="preserve">Entrada al sistema</t>
  </si>
  <si>
    <t xml:space="preserve">Abre directo en la pantalla de venta; tour de 3 pasos según la familia</t>
  </si>
  <si>
    <t xml:space="preserve">Después</t>
  </si>
  <si>
    <t xml:space="preserve">Sugerencias en el panel</t>
  </si>
  <si>
    <t xml:space="preserve">Ofrece activar módulos opcionales (O) cuando el uso lo indique; por ejemplo, fiado si registra ventas a crédito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</si>
</sst>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amilias" displayName="Familias" ref="A1:G17" headerRowCount="1" totalsRowCount="0" totalsRowShown="0">
  <autoFilter ref="A1:G17"/>
  <tableColumns count="7">
    <tableColumn id="1" name="ID"/>
    <tableColumn id="2" name="Familia"/>
    <tableColumn id="3" name="Descripción"/>
    <tableColumn id="4" name="Palabra para ítems"/>
    <tableColumn id="5" name="Unidad por defecto"/>
    <tableColumn id="6" name="Módulos que se activan (además del núcleo)"/>
    <tableColumn id="7" name="Módulos opcionales"/>
  </tableColumns>
</table>
</file>

<file path=xl/tables/table2.xml><?xml version="1.0" encoding="utf-8"?>
<table xmlns="http://schemas.openxmlformats.org/spreadsheetml/2006/main" id="2" name="Fichas" displayName="Fichas" ref="A1:D63" headerRowCount="1" totalsRowCount="0" totalsRowShown="0">
  <autoFilter ref="A1:D63"/>
  <tableColumns count="4">
    <tableColumn id="1" name="Tipo de negocio"/>
    <tableColumn id="2" name="Categoría"/>
    <tableColumn id="3" name="Producto / servicio de ejemplo"/>
    <tableColumn id="4" name="Unidad / variantes"/>
  </tableColumns>
</table>
</file>

<file path=xl/tables/table3.xml><?xml version="1.0" encoding="utf-8"?>
<table xmlns="http://schemas.openxmlformats.org/spreadsheetml/2006/main" id="3" name="Flujo" displayName="Flujo" ref="A1:D9" headerRowCount="1" totalsRowCount="0" totalsRowShown="0">
  <autoFilter ref="A1:D9"/>
  <tableColumns count="4">
    <tableColumn id="1" name="Paso"/>
    <tableColumn id="2" name="Pantalla"/>
    <tableColumn id="3" name="Qué ve o responde el usuario"/>
    <tableColumn id="4" name="Qué hace el sistema"/>
  </tableColumns>
</table>
</file>

<file path=xl/tables/table4.xml><?xml version="1.0" encoding="utf-8"?>
<table xmlns="http://schemas.openxmlformats.org/spreadsheetml/2006/main" id="4" name="Modulos" displayName="Modulos" ref="A1:D27" headerRowCount="1" totalsRowCount="0" totalsRowShown="0">
  <autoFilter ref="A1:D27"/>
  <tableColumns count="4">
    <tableColumn id="1" name="ID"/>
    <tableColumn id="2" name="Módulo"/>
    <tableColumn id="3" name="Qué hace"/>
    <tableColumn id="4" name="Tipo"/>
  </tableColumns>
</table>
</file>

<file path=xl/tables/table5.xml><?xml version="1.0" encoding="utf-8"?>
<table xmlns="http://schemas.openxmlformats.org/spreadsheetml/2006/main" id="5" name="Tipos" displayName="Tipos" ref="A1:I217" headerRowCount="1" totalsRowCount="0" totalsRowShown="0">
  <autoFilter ref="A1:I217"/>
  <tableColumns count="9">
    <tableColumn id="1" name="ID"/>
    <tableColumn id="2" name="Tipo de negocio"/>
    <tableColumn id="3" name="Familia ID"/>
    <tableColumn id="4" name="Familia"/>
    <tableColumn id="5" name="Sinónimos (buscador)"/>
    <tableColumn id="6" name="Categorías iniciales"/>
    <tableColumn id="7" name="Palabra para ítems"/>
    <tableColumn id="8" name="Unidad principal"/>
    <tableColumn id="9" name="Ajuste propi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  <c r="C5" s="2" t="s">
        <v>4</v>
      </c>
    </row>
    <row r="6" customFormat="false" ht="15" hidden="false" customHeight="false" outlineLevel="0" collapsed="false">
      <c r="A6" s="2" t="s">
        <v>5</v>
      </c>
      <c r="C6" s="2" t="s">
        <v>6</v>
      </c>
    </row>
    <row r="7" customFormat="false" ht="15" hidden="false" customHeight="false" outlineLevel="0" collapsed="false">
      <c r="A7" s="2" t="s">
        <v>7</v>
      </c>
      <c r="C7" s="2" t="s">
        <v>8</v>
      </c>
    </row>
    <row r="9" customFormat="false" ht="15" hidden="false" customHeight="false" outlineLevel="0" collapsed="false">
      <c r="A9" s="3" t="s">
        <v>9</v>
      </c>
    </row>
    <row r="10" customFormat="false" ht="15" hidden="false" customHeight="false" outlineLevel="0" collapsed="false">
      <c r="A10" s="2" t="s">
        <v>10</v>
      </c>
      <c r="B10" s="2" t="n">
        <f aca="false">COUNTA(Módulos!A2:A27)</f>
        <v>26</v>
      </c>
    </row>
    <row r="11" customFormat="false" ht="15" hidden="false" customHeight="false" outlineLevel="0" collapsed="false">
      <c r="A11" s="2" t="s">
        <v>11</v>
      </c>
      <c r="B11" s="2" t="n">
        <f aca="false">COUNTIF(Módulos!D2:D27,"Núcleo")</f>
        <v>6</v>
      </c>
    </row>
    <row r="12" customFormat="false" ht="15" hidden="false" customHeight="false" outlineLevel="0" collapsed="false">
      <c r="A12" s="2" t="s">
        <v>12</v>
      </c>
      <c r="B12" s="2" t="n">
        <f aca="false">COUNTA(Familias!A2:A17)</f>
        <v>16</v>
      </c>
    </row>
    <row r="13" customFormat="false" ht="15" hidden="false" customHeight="false" outlineLevel="0" collapsed="false">
      <c r="A13" s="2" t="s">
        <v>13</v>
      </c>
      <c r="B13" s="2" t="n">
        <f aca="false">COUNTA('Tipos de negocio'!A2:A217)</f>
        <v>216</v>
      </c>
    </row>
    <row r="15" customFormat="false" ht="15" hidden="false" customHeight="false" outlineLevel="0" collapsed="false">
      <c r="A15" s="3" t="s">
        <v>14</v>
      </c>
    </row>
    <row r="16" customFormat="false" ht="15" hidden="false" customHeight="false" outlineLevel="0" collapsed="false">
      <c r="A16" s="4" t="s">
        <v>15</v>
      </c>
      <c r="B16" s="4" t="s">
        <v>16</v>
      </c>
      <c r="C16" s="4" t="s">
        <v>17</v>
      </c>
    </row>
    <row r="17" customFormat="false" ht="15" hidden="false" customHeight="false" outlineLevel="0" collapsed="false">
      <c r="A17" s="2" t="s">
        <v>18</v>
      </c>
      <c r="B17" s="2" t="n">
        <f aca="false">COUNTIF('Tipos de negocio'!C$2:C$217,"F01")</f>
        <v>18</v>
      </c>
      <c r="C17" s="2" t="n">
        <f aca="false">COUNTIF(Matriz!C2:AB2,"S")</f>
        <v>12</v>
      </c>
    </row>
    <row r="18" customFormat="false" ht="15" hidden="false" customHeight="false" outlineLevel="0" collapsed="false">
      <c r="A18" s="2" t="s">
        <v>19</v>
      </c>
      <c r="B18" s="2" t="n">
        <f aca="false">COUNTIF('Tipos de negocio'!C$2:C$217,"F02")</f>
        <v>14</v>
      </c>
      <c r="C18" s="2" t="n">
        <f aca="false">COUNTIF(Matriz!C3:AB3,"S")</f>
        <v>10</v>
      </c>
    </row>
    <row r="19" customFormat="false" ht="15" hidden="false" customHeight="false" outlineLevel="0" collapsed="false">
      <c r="A19" s="2" t="s">
        <v>20</v>
      </c>
      <c r="B19" s="2" t="n">
        <f aca="false">COUNTIF('Tipos de negocio'!C$2:C$217,"F03")</f>
        <v>12</v>
      </c>
      <c r="C19" s="2" t="n">
        <f aca="false">COUNTIF(Matriz!C4:AB4,"S")</f>
        <v>11</v>
      </c>
    </row>
    <row r="20" customFormat="false" ht="15" hidden="false" customHeight="false" outlineLevel="0" collapsed="false">
      <c r="A20" s="2" t="s">
        <v>21</v>
      </c>
      <c r="B20" s="2" t="n">
        <f aca="false">COUNTIF('Tipos de negocio'!C$2:C$217,"F04")</f>
        <v>16</v>
      </c>
      <c r="C20" s="2" t="n">
        <f aca="false">COUNTIF(Matriz!C5:AB5,"S")</f>
        <v>12</v>
      </c>
    </row>
    <row r="21" customFormat="false" ht="15" hidden="false" customHeight="false" outlineLevel="0" collapsed="false">
      <c r="A21" s="2" t="s">
        <v>22</v>
      </c>
      <c r="B21" s="2" t="n">
        <f aca="false">COUNTIF('Tipos de negocio'!C$2:C$217,"F05")</f>
        <v>12</v>
      </c>
      <c r="C21" s="2" t="n">
        <f aca="false">COUNTIF(Matriz!C6:AB6,"S")</f>
        <v>10</v>
      </c>
    </row>
    <row r="22" customFormat="false" ht="15" hidden="false" customHeight="false" outlineLevel="0" collapsed="false">
      <c r="A22" s="2" t="s">
        <v>23</v>
      </c>
      <c r="B22" s="2" t="n">
        <f aca="false">COUNTIF('Tipos de negocio'!C$2:C$217,"F06")</f>
        <v>20</v>
      </c>
      <c r="C22" s="2" t="n">
        <f aca="false">COUNTIF(Matriz!C7:AB7,"S")</f>
        <v>9</v>
      </c>
    </row>
    <row r="23" customFormat="false" ht="15" hidden="false" customHeight="false" outlineLevel="0" collapsed="false">
      <c r="A23" s="2" t="s">
        <v>24</v>
      </c>
      <c r="B23" s="2" t="n">
        <f aca="false">COUNTIF('Tipos de negocio'!C$2:C$217,"F07")</f>
        <v>6</v>
      </c>
      <c r="C23" s="2" t="n">
        <f aca="false">COUNTIF(Matriz!C8:AB8,"S")</f>
        <v>10</v>
      </c>
    </row>
    <row r="24" customFormat="false" ht="15" hidden="false" customHeight="false" outlineLevel="0" collapsed="false">
      <c r="A24" s="2" t="s">
        <v>25</v>
      </c>
      <c r="B24" s="2" t="n">
        <f aca="false">COUNTIF('Tipos de negocio'!C$2:C$217,"F08")</f>
        <v>10</v>
      </c>
      <c r="C24" s="2" t="n">
        <f aca="false">COUNTIF(Matriz!C9:AB9,"S")</f>
        <v>10</v>
      </c>
    </row>
    <row r="25" customFormat="false" ht="15" hidden="false" customHeight="false" outlineLevel="0" collapsed="false">
      <c r="A25" s="2" t="s">
        <v>26</v>
      </c>
      <c r="B25" s="2" t="n">
        <f aca="false">COUNTIF('Tipos de negocio'!C$2:C$217,"F09")</f>
        <v>10</v>
      </c>
      <c r="C25" s="2" t="n">
        <f aca="false">COUNTIF(Matriz!C10:AB10,"S")</f>
        <v>13</v>
      </c>
    </row>
    <row r="26" customFormat="false" ht="15" hidden="false" customHeight="false" outlineLevel="0" collapsed="false">
      <c r="A26" s="2" t="s">
        <v>27</v>
      </c>
      <c r="B26" s="2" t="n">
        <f aca="false">COUNTIF('Tipos de negocio'!C$2:C$217,"F10")</f>
        <v>18</v>
      </c>
      <c r="C26" s="2" t="n">
        <f aca="false">COUNTIF(Matriz!C11:AB11,"S")</f>
        <v>9</v>
      </c>
    </row>
    <row r="27" customFormat="false" ht="15" hidden="false" customHeight="false" outlineLevel="0" collapsed="false">
      <c r="A27" s="2" t="s">
        <v>28</v>
      </c>
      <c r="B27" s="2" t="n">
        <f aca="false">COUNTIF('Tipos de negocio'!C$2:C$217,"F11")</f>
        <v>18</v>
      </c>
      <c r="C27" s="2" t="n">
        <f aca="false">COUNTIF(Matriz!C12:AB12,"S")</f>
        <v>11</v>
      </c>
    </row>
    <row r="28" customFormat="false" ht="15" hidden="false" customHeight="false" outlineLevel="0" collapsed="false">
      <c r="A28" s="2" t="s">
        <v>29</v>
      </c>
      <c r="B28" s="2" t="n">
        <f aca="false">COUNTIF('Tipos de negocio'!C$2:C$217,"F12")</f>
        <v>15</v>
      </c>
      <c r="C28" s="2" t="n">
        <f aca="false">COUNTIF(Matriz!C13:AB13,"S")</f>
        <v>8</v>
      </c>
    </row>
    <row r="29" customFormat="false" ht="15" hidden="false" customHeight="false" outlineLevel="0" collapsed="false">
      <c r="A29" s="2" t="s">
        <v>30</v>
      </c>
      <c r="B29" s="2" t="n">
        <f aca="false">COUNTIF('Tipos de negocio'!C$2:C$217,"F13")</f>
        <v>12</v>
      </c>
      <c r="C29" s="2" t="n">
        <f aca="false">COUNTIF(Matriz!C14:AB14,"S")</f>
        <v>12</v>
      </c>
    </row>
    <row r="30" customFormat="false" ht="15" hidden="false" customHeight="false" outlineLevel="0" collapsed="false">
      <c r="A30" s="2" t="s">
        <v>31</v>
      </c>
      <c r="B30" s="2" t="n">
        <f aca="false">COUNTIF('Tipos de negocio'!C$2:C$217,"F14")</f>
        <v>13</v>
      </c>
      <c r="C30" s="2" t="n">
        <f aca="false">COUNTIF(Matriz!C15:AB15,"S")</f>
        <v>11</v>
      </c>
    </row>
    <row r="31" customFormat="false" ht="15" hidden="false" customHeight="false" outlineLevel="0" collapsed="false">
      <c r="A31" s="2" t="s">
        <v>32</v>
      </c>
      <c r="B31" s="2" t="n">
        <f aca="false">COUNTIF('Tipos de negocio'!C$2:C$217,"F15")</f>
        <v>11</v>
      </c>
      <c r="C31" s="2" t="n">
        <f aca="false">COUNTIF(Matriz!C16:AB16,"S")</f>
        <v>8</v>
      </c>
    </row>
    <row r="32" customFormat="false" ht="15" hidden="false" customHeight="false" outlineLevel="0" collapsed="false">
      <c r="A32" s="2" t="s">
        <v>33</v>
      </c>
      <c r="B32" s="2" t="n">
        <f aca="false">COUNTIF('Tipos de negocio'!C$2:C$217,"F16")</f>
        <v>11</v>
      </c>
      <c r="C32" s="2" t="n">
        <f aca="false">COUNTIF(Matriz!C17:AB17,"S")</f>
        <v>9</v>
      </c>
    </row>
    <row r="34" customFormat="false" ht="15" hidden="false" customHeight="false" outlineLevel="0" collapsed="false">
      <c r="A34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7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6" t="s">
        <v>35</v>
      </c>
      <c r="B1" s="6" t="s">
        <v>36</v>
      </c>
      <c r="C1" s="6" t="s">
        <v>37</v>
      </c>
      <c r="D1" s="6" t="s">
        <v>38</v>
      </c>
    </row>
    <row r="2" customFormat="false" ht="23.85" hidden="false" customHeight="false" outlineLevel="0" collapsed="false">
      <c r="A2" s="7" t="s">
        <v>39</v>
      </c>
      <c r="B2" s="7" t="s">
        <v>40</v>
      </c>
      <c r="C2" s="7" t="s">
        <v>41</v>
      </c>
      <c r="D2" s="7" t="s">
        <v>42</v>
      </c>
    </row>
    <row r="3" customFormat="false" ht="15" hidden="false" customHeight="false" outlineLevel="0" collapsed="false">
      <c r="A3" s="7" t="s">
        <v>43</v>
      </c>
      <c r="B3" s="7" t="s">
        <v>44</v>
      </c>
      <c r="C3" s="7" t="s">
        <v>45</v>
      </c>
      <c r="D3" s="7" t="s">
        <v>42</v>
      </c>
    </row>
    <row r="4" customFormat="false" ht="15" hidden="false" customHeight="false" outlineLevel="0" collapsed="false">
      <c r="A4" s="7" t="s">
        <v>46</v>
      </c>
      <c r="B4" s="7" t="s">
        <v>47</v>
      </c>
      <c r="C4" s="7" t="s">
        <v>48</v>
      </c>
      <c r="D4" s="7" t="s">
        <v>42</v>
      </c>
    </row>
    <row r="5" customFormat="false" ht="15" hidden="false" customHeight="false" outlineLevel="0" collapsed="false">
      <c r="A5" s="7" t="s">
        <v>49</v>
      </c>
      <c r="B5" s="7" t="s">
        <v>50</v>
      </c>
      <c r="C5" s="7" t="s">
        <v>51</v>
      </c>
      <c r="D5" s="7" t="s">
        <v>52</v>
      </c>
    </row>
    <row r="6" customFormat="false" ht="15" hidden="false" customHeight="false" outlineLevel="0" collapsed="false">
      <c r="A6" s="7" t="s">
        <v>53</v>
      </c>
      <c r="B6" s="7" t="s">
        <v>54</v>
      </c>
      <c r="C6" s="7" t="s">
        <v>55</v>
      </c>
      <c r="D6" s="7" t="s">
        <v>52</v>
      </c>
    </row>
    <row r="7" customFormat="false" ht="15" hidden="false" customHeight="false" outlineLevel="0" collapsed="false">
      <c r="A7" s="7" t="s">
        <v>56</v>
      </c>
      <c r="B7" s="7" t="s">
        <v>57</v>
      </c>
      <c r="C7" s="7" t="s">
        <v>58</v>
      </c>
      <c r="D7" s="7" t="s">
        <v>52</v>
      </c>
    </row>
    <row r="8" customFormat="false" ht="15" hidden="false" customHeight="false" outlineLevel="0" collapsed="false">
      <c r="A8" s="7" t="s">
        <v>59</v>
      </c>
      <c r="B8" s="7" t="s">
        <v>60</v>
      </c>
      <c r="C8" s="7" t="s">
        <v>61</v>
      </c>
      <c r="D8" s="7" t="s">
        <v>52</v>
      </c>
    </row>
    <row r="9" customFormat="false" ht="15" hidden="false" customHeight="false" outlineLevel="0" collapsed="false">
      <c r="A9" s="7" t="s">
        <v>62</v>
      </c>
      <c r="B9" s="7" t="s">
        <v>63</v>
      </c>
      <c r="C9" s="7" t="s">
        <v>64</v>
      </c>
      <c r="D9" s="7" t="s">
        <v>52</v>
      </c>
    </row>
    <row r="10" customFormat="false" ht="15" hidden="false" customHeight="false" outlineLevel="0" collapsed="false">
      <c r="A10" s="7" t="s">
        <v>65</v>
      </c>
      <c r="B10" s="7" t="s">
        <v>66</v>
      </c>
      <c r="C10" s="7" t="s">
        <v>67</v>
      </c>
      <c r="D10" s="7" t="s">
        <v>52</v>
      </c>
    </row>
    <row r="11" customFormat="false" ht="15" hidden="false" customHeight="false" outlineLevel="0" collapsed="false">
      <c r="A11" s="7" t="s">
        <v>68</v>
      </c>
      <c r="B11" s="7" t="s">
        <v>69</v>
      </c>
      <c r="C11" s="7" t="s">
        <v>70</v>
      </c>
      <c r="D11" s="7" t="s">
        <v>52</v>
      </c>
    </row>
    <row r="12" customFormat="false" ht="15" hidden="false" customHeight="false" outlineLevel="0" collapsed="false">
      <c r="A12" s="7" t="s">
        <v>71</v>
      </c>
      <c r="B12" s="7" t="s">
        <v>72</v>
      </c>
      <c r="C12" s="7" t="s">
        <v>73</v>
      </c>
      <c r="D12" s="7" t="s">
        <v>52</v>
      </c>
    </row>
    <row r="13" customFormat="false" ht="15" hidden="false" customHeight="false" outlineLevel="0" collapsed="false">
      <c r="A13" s="7" t="s">
        <v>74</v>
      </c>
      <c r="B13" s="7" t="s">
        <v>75</v>
      </c>
      <c r="C13" s="7" t="s">
        <v>76</v>
      </c>
      <c r="D13" s="7" t="s">
        <v>52</v>
      </c>
    </row>
    <row r="14" customFormat="false" ht="15" hidden="false" customHeight="false" outlineLevel="0" collapsed="false">
      <c r="A14" s="7" t="s">
        <v>77</v>
      </c>
      <c r="B14" s="7" t="s">
        <v>78</v>
      </c>
      <c r="C14" s="7" t="s">
        <v>79</v>
      </c>
      <c r="D14" s="7" t="s">
        <v>52</v>
      </c>
    </row>
    <row r="15" customFormat="false" ht="15" hidden="false" customHeight="false" outlineLevel="0" collapsed="false">
      <c r="A15" s="7" t="s">
        <v>80</v>
      </c>
      <c r="B15" s="7" t="s">
        <v>81</v>
      </c>
      <c r="C15" s="7" t="s">
        <v>82</v>
      </c>
      <c r="D15" s="7" t="s">
        <v>52</v>
      </c>
    </row>
    <row r="16" customFormat="false" ht="15" hidden="false" customHeight="false" outlineLevel="0" collapsed="false">
      <c r="A16" s="7" t="s">
        <v>83</v>
      </c>
      <c r="B16" s="7" t="s">
        <v>84</v>
      </c>
      <c r="C16" s="7" t="s">
        <v>85</v>
      </c>
      <c r="D16" s="7" t="s">
        <v>52</v>
      </c>
    </row>
    <row r="17" customFormat="false" ht="15" hidden="false" customHeight="false" outlineLevel="0" collapsed="false">
      <c r="A17" s="7" t="s">
        <v>86</v>
      </c>
      <c r="B17" s="7" t="s">
        <v>87</v>
      </c>
      <c r="C17" s="7" t="s">
        <v>88</v>
      </c>
      <c r="D17" s="7" t="s">
        <v>52</v>
      </c>
    </row>
    <row r="18" customFormat="false" ht="15" hidden="false" customHeight="false" outlineLevel="0" collapsed="false">
      <c r="A18" s="7" t="s">
        <v>89</v>
      </c>
      <c r="B18" s="7" t="s">
        <v>90</v>
      </c>
      <c r="C18" s="7" t="s">
        <v>91</v>
      </c>
      <c r="D18" s="7" t="s">
        <v>52</v>
      </c>
    </row>
    <row r="19" customFormat="false" ht="15" hidden="false" customHeight="false" outlineLevel="0" collapsed="false">
      <c r="A19" s="7" t="s">
        <v>92</v>
      </c>
      <c r="B19" s="7" t="s">
        <v>93</v>
      </c>
      <c r="C19" s="7" t="s">
        <v>94</v>
      </c>
      <c r="D19" s="7" t="s">
        <v>52</v>
      </c>
    </row>
    <row r="20" customFormat="false" ht="15" hidden="false" customHeight="false" outlineLevel="0" collapsed="false">
      <c r="A20" s="7" t="s">
        <v>95</v>
      </c>
      <c r="B20" s="7" t="s">
        <v>96</v>
      </c>
      <c r="C20" s="7" t="s">
        <v>97</v>
      </c>
      <c r="D20" s="7" t="s">
        <v>42</v>
      </c>
    </row>
    <row r="21" customFormat="false" ht="15" hidden="false" customHeight="false" outlineLevel="0" collapsed="false">
      <c r="A21" s="7" t="s">
        <v>98</v>
      </c>
      <c r="B21" s="7" t="s">
        <v>99</v>
      </c>
      <c r="C21" s="7" t="s">
        <v>100</v>
      </c>
      <c r="D21" s="7" t="s">
        <v>42</v>
      </c>
    </row>
    <row r="22" customFormat="false" ht="15" hidden="false" customHeight="false" outlineLevel="0" collapsed="false">
      <c r="A22" s="7" t="s">
        <v>101</v>
      </c>
      <c r="B22" s="7" t="s">
        <v>102</v>
      </c>
      <c r="C22" s="7" t="s">
        <v>103</v>
      </c>
      <c r="D22" s="7" t="s">
        <v>42</v>
      </c>
    </row>
    <row r="23" customFormat="false" ht="15" hidden="false" customHeight="false" outlineLevel="0" collapsed="false">
      <c r="A23" s="7" t="s">
        <v>104</v>
      </c>
      <c r="B23" s="7" t="s">
        <v>105</v>
      </c>
      <c r="C23" s="7" t="s">
        <v>106</v>
      </c>
      <c r="D23" s="7" t="s">
        <v>52</v>
      </c>
    </row>
    <row r="24" customFormat="false" ht="15" hidden="false" customHeight="false" outlineLevel="0" collapsed="false">
      <c r="A24" s="7" t="s">
        <v>107</v>
      </c>
      <c r="B24" s="7" t="s">
        <v>108</v>
      </c>
      <c r="C24" s="7" t="s">
        <v>109</v>
      </c>
      <c r="D24" s="7" t="s">
        <v>52</v>
      </c>
    </row>
    <row r="25" customFormat="false" ht="15" hidden="false" customHeight="false" outlineLevel="0" collapsed="false">
      <c r="A25" s="7" t="s">
        <v>110</v>
      </c>
      <c r="B25" s="7" t="s">
        <v>111</v>
      </c>
      <c r="C25" s="7" t="s">
        <v>112</v>
      </c>
      <c r="D25" s="7" t="s">
        <v>52</v>
      </c>
    </row>
    <row r="26" customFormat="false" ht="15" hidden="false" customHeight="false" outlineLevel="0" collapsed="false">
      <c r="A26" s="7" t="s">
        <v>113</v>
      </c>
      <c r="B26" s="7" t="s">
        <v>114</v>
      </c>
      <c r="C26" s="7" t="s">
        <v>115</v>
      </c>
      <c r="D26" s="7" t="s">
        <v>52</v>
      </c>
    </row>
    <row r="27" customFormat="false" ht="15" hidden="false" customHeight="false" outlineLevel="0" collapsed="false">
      <c r="A27" s="7" t="s">
        <v>116</v>
      </c>
      <c r="B27" s="7" t="s">
        <v>117</v>
      </c>
      <c r="C27" s="7" t="s">
        <v>118</v>
      </c>
      <c r="D27" s="7" t="s">
        <v>52</v>
      </c>
    </row>
    <row r="29" customFormat="false" ht="15" hidden="false" customHeight="false" outlineLevel="0" collapsed="false">
      <c r="B29" s="5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5" min="4" style="0" width="14"/>
    <col collapsed="false" customWidth="true" hidden="false" outlineLevel="0" max="6" min="6" style="0" width="44"/>
    <col collapsed="false" customWidth="true" hidden="false" outlineLevel="0" max="7" min="7" style="0" width="34"/>
  </cols>
  <sheetData>
    <row r="1" customFormat="false" ht="23.85" hidden="false" customHeight="false" outlineLevel="0" collapsed="false">
      <c r="A1" s="6" t="s">
        <v>35</v>
      </c>
      <c r="B1" s="6" t="s">
        <v>15</v>
      </c>
      <c r="C1" s="6" t="s">
        <v>120</v>
      </c>
      <c r="D1" s="6" t="s">
        <v>121</v>
      </c>
      <c r="E1" s="6" t="s">
        <v>122</v>
      </c>
      <c r="F1" s="6" t="s">
        <v>123</v>
      </c>
      <c r="G1" s="6" t="s">
        <v>124</v>
      </c>
    </row>
    <row r="2" customFormat="false" ht="35.05" hidden="false" customHeight="false" outlineLevel="0" collapsed="false">
      <c r="A2" s="7" t="s">
        <v>125</v>
      </c>
      <c r="B2" s="7" t="s">
        <v>126</v>
      </c>
      <c r="C2" s="7" t="s">
        <v>127</v>
      </c>
      <c r="D2" s="7" t="s">
        <v>128</v>
      </c>
      <c r="E2" s="7" t="s">
        <v>129</v>
      </c>
      <c r="F2" s="7" t="s">
        <v>130</v>
      </c>
      <c r="G2" s="7" t="s">
        <v>131</v>
      </c>
    </row>
    <row r="3" customFormat="false" ht="23.85" hidden="false" customHeight="false" outlineLevel="0" collapsed="false">
      <c r="A3" s="7" t="s">
        <v>132</v>
      </c>
      <c r="B3" s="7" t="s">
        <v>133</v>
      </c>
      <c r="C3" s="7" t="s">
        <v>134</v>
      </c>
      <c r="D3" s="7" t="s">
        <v>135</v>
      </c>
      <c r="E3" s="7" t="s">
        <v>129</v>
      </c>
      <c r="F3" s="7" t="s">
        <v>136</v>
      </c>
      <c r="G3" s="7" t="s">
        <v>137</v>
      </c>
    </row>
    <row r="4" customFormat="false" ht="23.85" hidden="false" customHeight="false" outlineLevel="0" collapsed="false">
      <c r="A4" s="7" t="s">
        <v>138</v>
      </c>
      <c r="B4" s="7" t="s">
        <v>139</v>
      </c>
      <c r="C4" s="7" t="s">
        <v>140</v>
      </c>
      <c r="D4" s="7" t="s">
        <v>135</v>
      </c>
      <c r="E4" s="7" t="s">
        <v>129</v>
      </c>
      <c r="F4" s="7" t="s">
        <v>141</v>
      </c>
      <c r="G4" s="7" t="s">
        <v>142</v>
      </c>
    </row>
    <row r="5" customFormat="false" ht="35.05" hidden="false" customHeight="false" outlineLevel="0" collapsed="false">
      <c r="A5" s="7" t="s">
        <v>143</v>
      </c>
      <c r="B5" s="7" t="s">
        <v>144</v>
      </c>
      <c r="C5" s="7" t="s">
        <v>145</v>
      </c>
      <c r="D5" s="7" t="s">
        <v>135</v>
      </c>
      <c r="E5" s="7" t="s">
        <v>129</v>
      </c>
      <c r="F5" s="7" t="s">
        <v>146</v>
      </c>
      <c r="G5" s="7" t="s">
        <v>147</v>
      </c>
    </row>
    <row r="6" customFormat="false" ht="23.85" hidden="false" customHeight="false" outlineLevel="0" collapsed="false">
      <c r="A6" s="7" t="s">
        <v>148</v>
      </c>
      <c r="B6" s="7" t="s">
        <v>149</v>
      </c>
      <c r="C6" s="7" t="s">
        <v>150</v>
      </c>
      <c r="D6" s="7" t="s">
        <v>135</v>
      </c>
      <c r="E6" s="7" t="s">
        <v>129</v>
      </c>
      <c r="F6" s="7" t="s">
        <v>151</v>
      </c>
      <c r="G6" s="7" t="s">
        <v>152</v>
      </c>
    </row>
    <row r="7" customFormat="false" ht="23.85" hidden="false" customHeight="false" outlineLevel="0" collapsed="false">
      <c r="A7" s="7" t="s">
        <v>153</v>
      </c>
      <c r="B7" s="7" t="s">
        <v>154</v>
      </c>
      <c r="C7" s="7" t="s">
        <v>155</v>
      </c>
      <c r="D7" s="7" t="s">
        <v>135</v>
      </c>
      <c r="E7" s="7" t="s">
        <v>129</v>
      </c>
      <c r="F7" s="7" t="s">
        <v>156</v>
      </c>
      <c r="G7" s="7" t="s">
        <v>157</v>
      </c>
    </row>
    <row r="8" customFormat="false" ht="23.85" hidden="false" customHeight="false" outlineLevel="0" collapsed="false">
      <c r="A8" s="7" t="s">
        <v>158</v>
      </c>
      <c r="B8" s="7" t="s">
        <v>159</v>
      </c>
      <c r="C8" s="7" t="s">
        <v>160</v>
      </c>
      <c r="D8" s="7" t="s">
        <v>135</v>
      </c>
      <c r="E8" s="7" t="s">
        <v>129</v>
      </c>
      <c r="F8" s="7" t="s">
        <v>161</v>
      </c>
      <c r="G8" s="7" t="s">
        <v>162</v>
      </c>
    </row>
    <row r="9" customFormat="false" ht="23.85" hidden="false" customHeight="false" outlineLevel="0" collapsed="false">
      <c r="A9" s="7" t="s">
        <v>163</v>
      </c>
      <c r="B9" s="7" t="s">
        <v>164</v>
      </c>
      <c r="C9" s="7" t="s">
        <v>165</v>
      </c>
      <c r="D9" s="7" t="s">
        <v>135</v>
      </c>
      <c r="E9" s="7" t="s">
        <v>129</v>
      </c>
      <c r="F9" s="7" t="s">
        <v>166</v>
      </c>
      <c r="G9" s="7" t="s">
        <v>167</v>
      </c>
    </row>
    <row r="10" customFormat="false" ht="35.05" hidden="false" customHeight="false" outlineLevel="0" collapsed="false">
      <c r="A10" s="7" t="s">
        <v>168</v>
      </c>
      <c r="B10" s="7" t="s">
        <v>169</v>
      </c>
      <c r="C10" s="7" t="s">
        <v>170</v>
      </c>
      <c r="D10" s="7" t="s">
        <v>135</v>
      </c>
      <c r="E10" s="7" t="s">
        <v>129</v>
      </c>
      <c r="F10" s="7" t="s">
        <v>171</v>
      </c>
      <c r="G10" s="7" t="s">
        <v>93</v>
      </c>
    </row>
    <row r="11" customFormat="false" ht="23.85" hidden="false" customHeight="false" outlineLevel="0" collapsed="false">
      <c r="A11" s="7" t="s">
        <v>172</v>
      </c>
      <c r="B11" s="7" t="s">
        <v>173</v>
      </c>
      <c r="C11" s="7" t="s">
        <v>174</v>
      </c>
      <c r="D11" s="7" t="s">
        <v>175</v>
      </c>
      <c r="E11" s="7" t="s">
        <v>176</v>
      </c>
      <c r="F11" s="7" t="s">
        <v>177</v>
      </c>
      <c r="G11" s="7" t="s">
        <v>178</v>
      </c>
    </row>
    <row r="12" customFormat="false" ht="23.85" hidden="false" customHeight="false" outlineLevel="0" collapsed="false">
      <c r="A12" s="7" t="s">
        <v>179</v>
      </c>
      <c r="B12" s="7" t="s">
        <v>180</v>
      </c>
      <c r="C12" s="7" t="s">
        <v>181</v>
      </c>
      <c r="D12" s="7" t="s">
        <v>175</v>
      </c>
      <c r="E12" s="7" t="s">
        <v>176</v>
      </c>
      <c r="F12" s="7" t="s">
        <v>182</v>
      </c>
      <c r="G12" s="7" t="s">
        <v>75</v>
      </c>
    </row>
    <row r="13" customFormat="false" ht="15" hidden="false" customHeight="false" outlineLevel="0" collapsed="false">
      <c r="A13" s="7" t="s">
        <v>183</v>
      </c>
      <c r="B13" s="7" t="s">
        <v>184</v>
      </c>
      <c r="C13" s="7" t="s">
        <v>185</v>
      </c>
      <c r="D13" s="7" t="s">
        <v>175</v>
      </c>
      <c r="E13" s="7" t="s">
        <v>176</v>
      </c>
      <c r="F13" s="7" t="s">
        <v>186</v>
      </c>
      <c r="G13" s="7" t="s">
        <v>72</v>
      </c>
    </row>
    <row r="14" customFormat="false" ht="35.05" hidden="false" customHeight="false" outlineLevel="0" collapsed="false">
      <c r="A14" s="7" t="s">
        <v>187</v>
      </c>
      <c r="B14" s="7" t="s">
        <v>188</v>
      </c>
      <c r="C14" s="7" t="s">
        <v>189</v>
      </c>
      <c r="D14" s="7" t="s">
        <v>135</v>
      </c>
      <c r="E14" s="7" t="s">
        <v>44</v>
      </c>
      <c r="F14" s="7" t="s">
        <v>190</v>
      </c>
      <c r="G14" s="7" t="s">
        <v>191</v>
      </c>
    </row>
    <row r="15" customFormat="false" ht="35.05" hidden="false" customHeight="false" outlineLevel="0" collapsed="false">
      <c r="A15" s="7" t="s">
        <v>192</v>
      </c>
      <c r="B15" s="7" t="s">
        <v>193</v>
      </c>
      <c r="C15" s="7" t="s">
        <v>194</v>
      </c>
      <c r="D15" s="7" t="s">
        <v>135</v>
      </c>
      <c r="E15" s="7" t="s">
        <v>195</v>
      </c>
      <c r="F15" s="7" t="s">
        <v>196</v>
      </c>
      <c r="G15" s="7" t="s">
        <v>197</v>
      </c>
    </row>
    <row r="16" customFormat="false" ht="23.85" hidden="false" customHeight="false" outlineLevel="0" collapsed="false">
      <c r="A16" s="7" t="s">
        <v>198</v>
      </c>
      <c r="B16" s="7" t="s">
        <v>199</v>
      </c>
      <c r="C16" s="7" t="s">
        <v>200</v>
      </c>
      <c r="D16" s="7" t="s">
        <v>201</v>
      </c>
      <c r="E16" s="7" t="s">
        <v>202</v>
      </c>
      <c r="F16" s="7" t="s">
        <v>203</v>
      </c>
      <c r="G16" s="7" t="s">
        <v>204</v>
      </c>
    </row>
    <row r="17" customFormat="false" ht="23.85" hidden="false" customHeight="false" outlineLevel="0" collapsed="false">
      <c r="A17" s="7" t="s">
        <v>205</v>
      </c>
      <c r="B17" s="7" t="s">
        <v>206</v>
      </c>
      <c r="C17" s="7" t="s">
        <v>207</v>
      </c>
      <c r="D17" s="7" t="s">
        <v>175</v>
      </c>
      <c r="E17" s="7" t="s">
        <v>208</v>
      </c>
      <c r="F17" s="7" t="s">
        <v>209</v>
      </c>
      <c r="G17" s="7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28" min="3" style="0" width="4.5"/>
  </cols>
  <sheetData>
    <row r="1" customFormat="false" ht="199.5" hidden="false" customHeight="true" outlineLevel="0" collapsed="false">
      <c r="A1" s="4" t="s">
        <v>35</v>
      </c>
      <c r="B1" s="4" t="s">
        <v>15</v>
      </c>
      <c r="C1" s="8" t="s">
        <v>211</v>
      </c>
      <c r="D1" s="8" t="s">
        <v>212</v>
      </c>
      <c r="E1" s="8" t="s">
        <v>213</v>
      </c>
      <c r="F1" s="8" t="s">
        <v>214</v>
      </c>
      <c r="G1" s="8" t="s">
        <v>215</v>
      </c>
      <c r="H1" s="8" t="s">
        <v>216</v>
      </c>
      <c r="I1" s="8" t="s">
        <v>217</v>
      </c>
      <c r="J1" s="8" t="s">
        <v>218</v>
      </c>
      <c r="K1" s="8" t="s">
        <v>219</v>
      </c>
      <c r="L1" s="8" t="s">
        <v>220</v>
      </c>
      <c r="M1" s="8" t="s">
        <v>221</v>
      </c>
      <c r="N1" s="8" t="s">
        <v>222</v>
      </c>
      <c r="O1" s="8" t="s">
        <v>223</v>
      </c>
      <c r="P1" s="8" t="s">
        <v>224</v>
      </c>
      <c r="Q1" s="8" t="s">
        <v>225</v>
      </c>
      <c r="R1" s="8" t="s">
        <v>226</v>
      </c>
      <c r="S1" s="8" t="s">
        <v>227</v>
      </c>
      <c r="T1" s="8" t="s">
        <v>228</v>
      </c>
      <c r="U1" s="8" t="s">
        <v>229</v>
      </c>
      <c r="V1" s="8" t="s">
        <v>230</v>
      </c>
      <c r="W1" s="8" t="s">
        <v>231</v>
      </c>
      <c r="X1" s="8" t="s">
        <v>232</v>
      </c>
      <c r="Y1" s="8" t="s">
        <v>233</v>
      </c>
      <c r="Z1" s="8" t="s">
        <v>234</v>
      </c>
      <c r="AA1" s="8" t="s">
        <v>235</v>
      </c>
      <c r="AB1" s="8" t="s">
        <v>236</v>
      </c>
    </row>
    <row r="2" customFormat="false" ht="15" hidden="false" customHeight="false" outlineLevel="0" collapsed="false">
      <c r="A2" s="2" t="s">
        <v>125</v>
      </c>
      <c r="B2" s="2" t="s">
        <v>126</v>
      </c>
      <c r="C2" s="9" t="s">
        <v>237</v>
      </c>
      <c r="D2" s="9" t="s">
        <v>237</v>
      </c>
      <c r="E2" s="9" t="s">
        <v>237</v>
      </c>
      <c r="F2" s="9" t="s">
        <v>237</v>
      </c>
      <c r="G2" s="10"/>
      <c r="H2" s="10"/>
      <c r="I2" s="10"/>
      <c r="J2" s="9" t="s">
        <v>237</v>
      </c>
      <c r="K2" s="9" t="s">
        <v>237</v>
      </c>
      <c r="L2" s="9" t="s">
        <v>237</v>
      </c>
      <c r="M2" s="10"/>
      <c r="N2" s="10"/>
      <c r="O2" s="10"/>
      <c r="P2" s="9" t="s">
        <v>237</v>
      </c>
      <c r="Q2" s="9" t="s">
        <v>237</v>
      </c>
      <c r="R2" s="11" t="s">
        <v>238</v>
      </c>
      <c r="S2" s="10"/>
      <c r="T2" s="11" t="s">
        <v>238</v>
      </c>
      <c r="U2" s="9" t="s">
        <v>237</v>
      </c>
      <c r="V2" s="9" t="s">
        <v>237</v>
      </c>
      <c r="W2" s="9" t="s">
        <v>237</v>
      </c>
      <c r="X2" s="10"/>
      <c r="Y2" s="10"/>
      <c r="Z2" s="10"/>
      <c r="AA2" s="10"/>
      <c r="AB2" s="10"/>
    </row>
    <row r="3" customFormat="false" ht="15" hidden="false" customHeight="false" outlineLevel="0" collapsed="false">
      <c r="A3" s="2" t="s">
        <v>132</v>
      </c>
      <c r="B3" s="2" t="s">
        <v>133</v>
      </c>
      <c r="C3" s="9" t="s">
        <v>237</v>
      </c>
      <c r="D3" s="9" t="s">
        <v>237</v>
      </c>
      <c r="E3" s="9" t="s">
        <v>237</v>
      </c>
      <c r="F3" s="9" t="s">
        <v>237</v>
      </c>
      <c r="G3" s="10"/>
      <c r="H3" s="10"/>
      <c r="I3" s="10"/>
      <c r="J3" s="9" t="s">
        <v>237</v>
      </c>
      <c r="K3" s="11" t="s">
        <v>238</v>
      </c>
      <c r="L3" s="9" t="s">
        <v>237</v>
      </c>
      <c r="M3" s="10"/>
      <c r="N3" s="10"/>
      <c r="O3" s="10"/>
      <c r="P3" s="11" t="s">
        <v>238</v>
      </c>
      <c r="Q3" s="9" t="s">
        <v>237</v>
      </c>
      <c r="R3" s="10"/>
      <c r="S3" s="10"/>
      <c r="T3" s="11" t="s">
        <v>238</v>
      </c>
      <c r="U3" s="9" t="s">
        <v>237</v>
      </c>
      <c r="V3" s="9" t="s">
        <v>237</v>
      </c>
      <c r="W3" s="9" t="s">
        <v>237</v>
      </c>
      <c r="X3" s="10"/>
      <c r="Y3" s="10"/>
      <c r="Z3" s="10"/>
      <c r="AA3" s="10"/>
      <c r="AB3" s="10"/>
    </row>
    <row r="4" customFormat="false" ht="15" hidden="false" customHeight="false" outlineLevel="0" collapsed="false">
      <c r="A4" s="2" t="s">
        <v>138</v>
      </c>
      <c r="B4" s="2" t="s">
        <v>139</v>
      </c>
      <c r="C4" s="9" t="s">
        <v>237</v>
      </c>
      <c r="D4" s="9" t="s">
        <v>237</v>
      </c>
      <c r="E4" s="9" t="s">
        <v>237</v>
      </c>
      <c r="F4" s="9" t="s">
        <v>237</v>
      </c>
      <c r="G4" s="10"/>
      <c r="H4" s="10"/>
      <c r="I4" s="10"/>
      <c r="J4" s="9" t="s">
        <v>237</v>
      </c>
      <c r="K4" s="10"/>
      <c r="L4" s="11" t="s">
        <v>238</v>
      </c>
      <c r="M4" s="10"/>
      <c r="N4" s="10"/>
      <c r="O4" s="10"/>
      <c r="P4" s="9" t="s">
        <v>237</v>
      </c>
      <c r="Q4" s="9" t="s">
        <v>237</v>
      </c>
      <c r="R4" s="9" t="s">
        <v>237</v>
      </c>
      <c r="S4" s="10"/>
      <c r="T4" s="11" t="s">
        <v>238</v>
      </c>
      <c r="U4" s="9" t="s">
        <v>237</v>
      </c>
      <c r="V4" s="9" t="s">
        <v>237</v>
      </c>
      <c r="W4" s="9" t="s">
        <v>237</v>
      </c>
      <c r="X4" s="10"/>
      <c r="Y4" s="10"/>
      <c r="Z4" s="11" t="s">
        <v>238</v>
      </c>
      <c r="AA4" s="10"/>
      <c r="AB4" s="10"/>
    </row>
    <row r="5" customFormat="false" ht="15" hidden="false" customHeight="false" outlineLevel="0" collapsed="false">
      <c r="A5" s="2" t="s">
        <v>143</v>
      </c>
      <c r="B5" s="2" t="s">
        <v>144</v>
      </c>
      <c r="C5" s="9" t="s">
        <v>237</v>
      </c>
      <c r="D5" s="9" t="s">
        <v>237</v>
      </c>
      <c r="E5" s="9" t="s">
        <v>237</v>
      </c>
      <c r="F5" s="9" t="s">
        <v>237</v>
      </c>
      <c r="G5" s="10"/>
      <c r="H5" s="9" t="s">
        <v>237</v>
      </c>
      <c r="I5" s="9" t="s">
        <v>237</v>
      </c>
      <c r="J5" s="10"/>
      <c r="K5" s="10"/>
      <c r="L5" s="10"/>
      <c r="M5" s="10"/>
      <c r="N5" s="10"/>
      <c r="O5" s="10"/>
      <c r="P5" s="9" t="s">
        <v>237</v>
      </c>
      <c r="Q5" s="9" t="s">
        <v>237</v>
      </c>
      <c r="R5" s="9" t="s">
        <v>237</v>
      </c>
      <c r="S5" s="11" t="s">
        <v>238</v>
      </c>
      <c r="T5" s="11" t="s">
        <v>238</v>
      </c>
      <c r="U5" s="9" t="s">
        <v>237</v>
      </c>
      <c r="V5" s="9" t="s">
        <v>237</v>
      </c>
      <c r="W5" s="9" t="s">
        <v>237</v>
      </c>
      <c r="X5" s="10"/>
      <c r="Y5" s="10"/>
      <c r="Z5" s="10"/>
      <c r="AA5" s="10"/>
      <c r="AB5" s="10"/>
    </row>
    <row r="6" customFormat="false" ht="15" hidden="false" customHeight="false" outlineLevel="0" collapsed="false">
      <c r="A6" s="2" t="s">
        <v>148</v>
      </c>
      <c r="B6" s="2" t="s">
        <v>149</v>
      </c>
      <c r="C6" s="9" t="s">
        <v>237</v>
      </c>
      <c r="D6" s="9" t="s">
        <v>237</v>
      </c>
      <c r="E6" s="9" t="s">
        <v>237</v>
      </c>
      <c r="F6" s="9" t="s">
        <v>237</v>
      </c>
      <c r="G6" s="9" t="s">
        <v>237</v>
      </c>
      <c r="H6" s="10"/>
      <c r="I6" s="9" t="s">
        <v>237</v>
      </c>
      <c r="J6" s="10"/>
      <c r="K6" s="10"/>
      <c r="L6" s="10"/>
      <c r="M6" s="10"/>
      <c r="N6" s="10"/>
      <c r="O6" s="10"/>
      <c r="P6" s="11" t="s">
        <v>238</v>
      </c>
      <c r="Q6" s="9" t="s">
        <v>237</v>
      </c>
      <c r="R6" s="10"/>
      <c r="S6" s="11" t="s">
        <v>238</v>
      </c>
      <c r="T6" s="11" t="s">
        <v>238</v>
      </c>
      <c r="U6" s="9" t="s">
        <v>237</v>
      </c>
      <c r="V6" s="9" t="s">
        <v>237</v>
      </c>
      <c r="W6" s="9" t="s">
        <v>237</v>
      </c>
      <c r="X6" s="10"/>
      <c r="Y6" s="10"/>
      <c r="Z6" s="10"/>
      <c r="AA6" s="10"/>
      <c r="AB6" s="10"/>
    </row>
    <row r="7" customFormat="false" ht="15" hidden="false" customHeight="false" outlineLevel="0" collapsed="false">
      <c r="A7" s="2" t="s">
        <v>153</v>
      </c>
      <c r="B7" s="2" t="s">
        <v>154</v>
      </c>
      <c r="C7" s="9" t="s">
        <v>237</v>
      </c>
      <c r="D7" s="9" t="s">
        <v>237</v>
      </c>
      <c r="E7" s="9" t="s">
        <v>237</v>
      </c>
      <c r="F7" s="9" t="s">
        <v>237</v>
      </c>
      <c r="G7" s="11" t="s">
        <v>238</v>
      </c>
      <c r="H7" s="10"/>
      <c r="I7" s="9" t="s">
        <v>237</v>
      </c>
      <c r="J7" s="10"/>
      <c r="K7" s="10"/>
      <c r="L7" s="10"/>
      <c r="M7" s="10"/>
      <c r="N7" s="10"/>
      <c r="O7" s="10"/>
      <c r="P7" s="11" t="s">
        <v>238</v>
      </c>
      <c r="Q7" s="9" t="s">
        <v>237</v>
      </c>
      <c r="R7" s="10"/>
      <c r="S7" s="11" t="s">
        <v>238</v>
      </c>
      <c r="T7" s="11" t="s">
        <v>238</v>
      </c>
      <c r="U7" s="9" t="s">
        <v>237</v>
      </c>
      <c r="V7" s="9" t="s">
        <v>237</v>
      </c>
      <c r="W7" s="9" t="s">
        <v>237</v>
      </c>
      <c r="X7" s="10"/>
      <c r="Y7" s="10"/>
      <c r="Z7" s="10"/>
      <c r="AA7" s="10"/>
      <c r="AB7" s="10"/>
    </row>
    <row r="8" customFormat="false" ht="15" hidden="false" customHeight="false" outlineLevel="0" collapsed="false">
      <c r="A8" s="2" t="s">
        <v>158</v>
      </c>
      <c r="B8" s="2" t="s">
        <v>159</v>
      </c>
      <c r="C8" s="9" t="s">
        <v>237</v>
      </c>
      <c r="D8" s="9" t="s">
        <v>237</v>
      </c>
      <c r="E8" s="9" t="s">
        <v>237</v>
      </c>
      <c r="F8" s="9" t="s">
        <v>237</v>
      </c>
      <c r="G8" s="10"/>
      <c r="H8" s="10"/>
      <c r="I8" s="9" t="s">
        <v>237</v>
      </c>
      <c r="J8" s="10"/>
      <c r="K8" s="10"/>
      <c r="L8" s="10"/>
      <c r="M8" s="10"/>
      <c r="N8" s="10"/>
      <c r="O8" s="10"/>
      <c r="P8" s="11" t="s">
        <v>238</v>
      </c>
      <c r="Q8" s="9" t="s">
        <v>237</v>
      </c>
      <c r="R8" s="9" t="s">
        <v>237</v>
      </c>
      <c r="S8" s="11" t="s">
        <v>238</v>
      </c>
      <c r="T8" s="10"/>
      <c r="U8" s="9" t="s">
        <v>237</v>
      </c>
      <c r="V8" s="9" t="s">
        <v>237</v>
      </c>
      <c r="W8" s="9" t="s">
        <v>237</v>
      </c>
      <c r="X8" s="10"/>
      <c r="Y8" s="10"/>
      <c r="Z8" s="10"/>
      <c r="AA8" s="10"/>
      <c r="AB8" s="10"/>
    </row>
    <row r="9" customFormat="false" ht="15" hidden="false" customHeight="false" outlineLevel="0" collapsed="false">
      <c r="A9" s="2" t="s">
        <v>163</v>
      </c>
      <c r="B9" s="2" t="s">
        <v>164</v>
      </c>
      <c r="C9" s="9" t="s">
        <v>237</v>
      </c>
      <c r="D9" s="9" t="s">
        <v>237</v>
      </c>
      <c r="E9" s="9" t="s">
        <v>237</v>
      </c>
      <c r="F9" s="9" t="s">
        <v>237</v>
      </c>
      <c r="G9" s="10"/>
      <c r="H9" s="10"/>
      <c r="I9" s="9" t="s">
        <v>237</v>
      </c>
      <c r="J9" s="10"/>
      <c r="K9" s="10"/>
      <c r="L9" s="10"/>
      <c r="M9" s="10"/>
      <c r="N9" s="10"/>
      <c r="O9" s="11" t="s">
        <v>238</v>
      </c>
      <c r="P9" s="11" t="s">
        <v>238</v>
      </c>
      <c r="Q9" s="9" t="s">
        <v>237</v>
      </c>
      <c r="R9" s="10"/>
      <c r="S9" s="10"/>
      <c r="T9" s="10"/>
      <c r="U9" s="9" t="s">
        <v>237</v>
      </c>
      <c r="V9" s="9" t="s">
        <v>237</v>
      </c>
      <c r="W9" s="9" t="s">
        <v>237</v>
      </c>
      <c r="X9" s="10"/>
      <c r="Y9" s="9" t="s">
        <v>237</v>
      </c>
      <c r="Z9" s="11" t="s">
        <v>238</v>
      </c>
      <c r="AA9" s="10"/>
      <c r="AB9" s="10"/>
    </row>
    <row r="10" customFormat="false" ht="15" hidden="false" customHeight="false" outlineLevel="0" collapsed="false">
      <c r="A10" s="2" t="s">
        <v>168</v>
      </c>
      <c r="B10" s="2" t="s">
        <v>169</v>
      </c>
      <c r="C10" s="9" t="s">
        <v>237</v>
      </c>
      <c r="D10" s="9" t="s">
        <v>237</v>
      </c>
      <c r="E10" s="9" t="s">
        <v>237</v>
      </c>
      <c r="F10" s="9" t="s">
        <v>237</v>
      </c>
      <c r="G10" s="10"/>
      <c r="H10" s="9" t="s">
        <v>237</v>
      </c>
      <c r="I10" s="9" t="s">
        <v>237</v>
      </c>
      <c r="J10" s="10"/>
      <c r="K10" s="10"/>
      <c r="L10" s="10"/>
      <c r="M10" s="10"/>
      <c r="N10" s="10"/>
      <c r="O10" s="10"/>
      <c r="P10" s="9" t="s">
        <v>237</v>
      </c>
      <c r="Q10" s="9" t="s">
        <v>237</v>
      </c>
      <c r="R10" s="10"/>
      <c r="S10" s="9" t="s">
        <v>237</v>
      </c>
      <c r="T10" s="11" t="s">
        <v>238</v>
      </c>
      <c r="U10" s="9" t="s">
        <v>237</v>
      </c>
      <c r="V10" s="9" t="s">
        <v>237</v>
      </c>
      <c r="W10" s="9" t="s">
        <v>237</v>
      </c>
      <c r="X10" s="10"/>
      <c r="Y10" s="10"/>
      <c r="Z10" s="9" t="s">
        <v>237</v>
      </c>
      <c r="AA10" s="10"/>
      <c r="AB10" s="10"/>
    </row>
    <row r="11" customFormat="false" ht="15" hidden="false" customHeight="false" outlineLevel="0" collapsed="false">
      <c r="A11" s="2" t="s">
        <v>172</v>
      </c>
      <c r="B11" s="2" t="s">
        <v>173</v>
      </c>
      <c r="C11" s="9" t="s">
        <v>237</v>
      </c>
      <c r="D11" s="9" t="s">
        <v>237</v>
      </c>
      <c r="E11" s="9" t="s">
        <v>237</v>
      </c>
      <c r="F11" s="11" t="s">
        <v>238</v>
      </c>
      <c r="G11" s="10"/>
      <c r="H11" s="10"/>
      <c r="I11" s="10"/>
      <c r="J11" s="10"/>
      <c r="K11" s="10"/>
      <c r="L11" s="10"/>
      <c r="M11" s="9" t="s">
        <v>237</v>
      </c>
      <c r="N11" s="9" t="s">
        <v>237</v>
      </c>
      <c r="O11" s="10"/>
      <c r="P11" s="9" t="s">
        <v>237</v>
      </c>
      <c r="Q11" s="10"/>
      <c r="R11" s="10"/>
      <c r="S11" s="10"/>
      <c r="T11" s="11" t="s">
        <v>238</v>
      </c>
      <c r="U11" s="9" t="s">
        <v>237</v>
      </c>
      <c r="V11" s="9" t="s">
        <v>237</v>
      </c>
      <c r="W11" s="9" t="s">
        <v>237</v>
      </c>
      <c r="X11" s="10"/>
      <c r="Y11" s="10"/>
      <c r="Z11" s="10"/>
      <c r="AA11" s="10"/>
      <c r="AB11" s="10"/>
    </row>
    <row r="12" customFormat="false" ht="15" hidden="false" customHeight="false" outlineLevel="0" collapsed="false">
      <c r="A12" s="2" t="s">
        <v>179</v>
      </c>
      <c r="B12" s="2" t="s">
        <v>180</v>
      </c>
      <c r="C12" s="9" t="s">
        <v>237</v>
      </c>
      <c r="D12" s="9" t="s">
        <v>237</v>
      </c>
      <c r="E12" s="9" t="s">
        <v>237</v>
      </c>
      <c r="F12" s="9" t="s">
        <v>237</v>
      </c>
      <c r="G12" s="10"/>
      <c r="H12" s="10"/>
      <c r="I12" s="10"/>
      <c r="J12" s="10"/>
      <c r="K12" s="10"/>
      <c r="L12" s="10"/>
      <c r="M12" s="10"/>
      <c r="N12" s="11" t="s">
        <v>238</v>
      </c>
      <c r="O12" s="9" t="s">
        <v>237</v>
      </c>
      <c r="P12" s="9" t="s">
        <v>237</v>
      </c>
      <c r="Q12" s="9" t="s">
        <v>237</v>
      </c>
      <c r="R12" s="10"/>
      <c r="S12" s="10"/>
      <c r="T12" s="10"/>
      <c r="U12" s="9" t="s">
        <v>237</v>
      </c>
      <c r="V12" s="9" t="s">
        <v>237</v>
      </c>
      <c r="W12" s="9" t="s">
        <v>237</v>
      </c>
      <c r="X12" s="10"/>
      <c r="Y12" s="10"/>
      <c r="Z12" s="9" t="s">
        <v>237</v>
      </c>
      <c r="AA12" s="10"/>
      <c r="AB12" s="10"/>
    </row>
    <row r="13" customFormat="false" ht="15" hidden="false" customHeight="false" outlineLevel="0" collapsed="false">
      <c r="A13" s="2" t="s">
        <v>183</v>
      </c>
      <c r="B13" s="2" t="s">
        <v>184</v>
      </c>
      <c r="C13" s="9" t="s">
        <v>237</v>
      </c>
      <c r="D13" s="9" t="s">
        <v>237</v>
      </c>
      <c r="E13" s="9" t="s">
        <v>237</v>
      </c>
      <c r="F13" s="10"/>
      <c r="G13" s="10"/>
      <c r="H13" s="10"/>
      <c r="I13" s="10"/>
      <c r="J13" s="10"/>
      <c r="K13" s="10"/>
      <c r="L13" s="10"/>
      <c r="M13" s="11" t="s">
        <v>238</v>
      </c>
      <c r="N13" s="10"/>
      <c r="O13" s="10"/>
      <c r="P13" s="9" t="s">
        <v>237</v>
      </c>
      <c r="Q13" s="10"/>
      <c r="R13" s="10"/>
      <c r="S13" s="10"/>
      <c r="T13" s="10"/>
      <c r="U13" s="9" t="s">
        <v>237</v>
      </c>
      <c r="V13" s="9" t="s">
        <v>237</v>
      </c>
      <c r="W13" s="9" t="s">
        <v>237</v>
      </c>
      <c r="X13" s="10"/>
      <c r="Y13" s="10"/>
      <c r="Z13" s="9" t="s">
        <v>237</v>
      </c>
      <c r="AA13" s="10"/>
      <c r="AB13" s="10"/>
    </row>
    <row r="14" customFormat="false" ht="15" hidden="false" customHeight="false" outlineLevel="0" collapsed="false">
      <c r="A14" s="2" t="s">
        <v>187</v>
      </c>
      <c r="B14" s="2" t="s">
        <v>188</v>
      </c>
      <c r="C14" s="9" t="s">
        <v>237</v>
      </c>
      <c r="D14" s="9" t="s">
        <v>237</v>
      </c>
      <c r="E14" s="9" t="s">
        <v>237</v>
      </c>
      <c r="F14" s="9" t="s">
        <v>237</v>
      </c>
      <c r="G14" s="10"/>
      <c r="H14" s="11" t="s">
        <v>238</v>
      </c>
      <c r="I14" s="9" t="s">
        <v>237</v>
      </c>
      <c r="J14" s="10"/>
      <c r="K14" s="10"/>
      <c r="L14" s="10"/>
      <c r="M14" s="10"/>
      <c r="N14" s="10"/>
      <c r="O14" s="10"/>
      <c r="P14" s="9" t="s">
        <v>237</v>
      </c>
      <c r="Q14" s="9" t="s">
        <v>237</v>
      </c>
      <c r="R14" s="11" t="s">
        <v>238</v>
      </c>
      <c r="S14" s="9" t="s">
        <v>237</v>
      </c>
      <c r="T14" s="11" t="s">
        <v>238</v>
      </c>
      <c r="U14" s="9" t="s">
        <v>237</v>
      </c>
      <c r="V14" s="9" t="s">
        <v>237</v>
      </c>
      <c r="W14" s="9" t="s">
        <v>237</v>
      </c>
      <c r="X14" s="10"/>
      <c r="Y14" s="10"/>
      <c r="Z14" s="9" t="s">
        <v>237</v>
      </c>
      <c r="AA14" s="10"/>
      <c r="AB14" s="10"/>
    </row>
    <row r="15" customFormat="false" ht="15" hidden="false" customHeight="false" outlineLevel="0" collapsed="false">
      <c r="A15" s="2" t="s">
        <v>192</v>
      </c>
      <c r="B15" s="2" t="s">
        <v>193</v>
      </c>
      <c r="C15" s="9" t="s">
        <v>237</v>
      </c>
      <c r="D15" s="9" t="s">
        <v>237</v>
      </c>
      <c r="E15" s="9" t="s">
        <v>237</v>
      </c>
      <c r="F15" s="9" t="s">
        <v>237</v>
      </c>
      <c r="G15" s="10"/>
      <c r="H15" s="9" t="s">
        <v>237</v>
      </c>
      <c r="I15" s="10"/>
      <c r="J15" s="10"/>
      <c r="K15" s="10"/>
      <c r="L15" s="10"/>
      <c r="M15" s="10"/>
      <c r="N15" s="10"/>
      <c r="O15" s="10"/>
      <c r="P15" s="9" t="s">
        <v>237</v>
      </c>
      <c r="Q15" s="9" t="s">
        <v>237</v>
      </c>
      <c r="R15" s="9" t="s">
        <v>237</v>
      </c>
      <c r="S15" s="11" t="s">
        <v>238</v>
      </c>
      <c r="T15" s="10"/>
      <c r="U15" s="9" t="s">
        <v>237</v>
      </c>
      <c r="V15" s="9" t="s">
        <v>237</v>
      </c>
      <c r="W15" s="9" t="s">
        <v>237</v>
      </c>
      <c r="X15" s="10"/>
      <c r="Y15" s="10"/>
      <c r="Z15" s="10"/>
      <c r="AA15" s="11" t="s">
        <v>238</v>
      </c>
      <c r="AB15" s="10"/>
    </row>
    <row r="16" customFormat="false" ht="15" hidden="false" customHeight="false" outlineLevel="0" collapsed="false">
      <c r="A16" s="2" t="s">
        <v>198</v>
      </c>
      <c r="B16" s="2" t="s">
        <v>199</v>
      </c>
      <c r="C16" s="9" t="s">
        <v>237</v>
      </c>
      <c r="D16" s="9" t="s">
        <v>237</v>
      </c>
      <c r="E16" s="9" t="s">
        <v>237</v>
      </c>
      <c r="F16" s="11" t="s">
        <v>238</v>
      </c>
      <c r="G16" s="10"/>
      <c r="H16" s="10"/>
      <c r="I16" s="10"/>
      <c r="J16" s="10"/>
      <c r="K16" s="10"/>
      <c r="L16" s="10"/>
      <c r="M16" s="11" t="s">
        <v>238</v>
      </c>
      <c r="N16" s="10"/>
      <c r="O16" s="10"/>
      <c r="P16" s="9" t="s">
        <v>237</v>
      </c>
      <c r="Q16" s="10"/>
      <c r="R16" s="10"/>
      <c r="S16" s="10"/>
      <c r="T16" s="10"/>
      <c r="U16" s="9" t="s">
        <v>237</v>
      </c>
      <c r="V16" s="9" t="s">
        <v>237</v>
      </c>
      <c r="W16" s="9" t="s">
        <v>237</v>
      </c>
      <c r="X16" s="9" t="s">
        <v>237</v>
      </c>
      <c r="Y16" s="10"/>
      <c r="Z16" s="10"/>
      <c r="AA16" s="10"/>
      <c r="AB16" s="11" t="s">
        <v>238</v>
      </c>
    </row>
    <row r="17" customFormat="false" ht="15" hidden="false" customHeight="false" outlineLevel="0" collapsed="false">
      <c r="A17" s="2" t="s">
        <v>205</v>
      </c>
      <c r="B17" s="2" t="s">
        <v>206</v>
      </c>
      <c r="C17" s="9" t="s">
        <v>237</v>
      </c>
      <c r="D17" s="9" t="s">
        <v>237</v>
      </c>
      <c r="E17" s="9" t="s">
        <v>237</v>
      </c>
      <c r="F17" s="11" t="s">
        <v>238</v>
      </c>
      <c r="G17" s="10"/>
      <c r="H17" s="10"/>
      <c r="I17" s="10"/>
      <c r="J17" s="10"/>
      <c r="K17" s="10"/>
      <c r="L17" s="11" t="s">
        <v>238</v>
      </c>
      <c r="M17" s="10"/>
      <c r="N17" s="10"/>
      <c r="O17" s="10"/>
      <c r="P17" s="9" t="s">
        <v>237</v>
      </c>
      <c r="Q17" s="10"/>
      <c r="R17" s="10"/>
      <c r="S17" s="10"/>
      <c r="T17" s="10"/>
      <c r="U17" s="9" t="s">
        <v>237</v>
      </c>
      <c r="V17" s="9" t="s">
        <v>237</v>
      </c>
      <c r="W17" s="9" t="s">
        <v>237</v>
      </c>
      <c r="X17" s="10"/>
      <c r="Y17" s="10"/>
      <c r="Z17" s="9" t="s">
        <v>237</v>
      </c>
      <c r="AA17" s="10"/>
      <c r="AB17" s="9" t="s">
        <v>237</v>
      </c>
    </row>
    <row r="19" customFormat="false" ht="15" hidden="false" customHeight="false" outlineLevel="0" collapsed="false">
      <c r="A19" s="12"/>
      <c r="B19" s="2" t="s">
        <v>239</v>
      </c>
    </row>
    <row r="20" customFormat="false" ht="15" hidden="false" customHeight="false" outlineLevel="0" collapsed="false">
      <c r="A20" s="13"/>
      <c r="B20" s="2" t="s">
        <v>240</v>
      </c>
    </row>
    <row r="21" customFormat="false" ht="15" hidden="false" customHeight="false" outlineLevel="0" collapsed="false">
      <c r="B21" s="2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8"/>
  </cols>
  <sheetData>
    <row r="1" customFormat="false" ht="35.05" hidden="false" customHeight="false" outlineLevel="0" collapsed="false">
      <c r="A1" s="6" t="s">
        <v>35</v>
      </c>
      <c r="B1" s="6" t="s">
        <v>242</v>
      </c>
      <c r="C1" s="6" t="s">
        <v>243</v>
      </c>
      <c r="D1" s="6" t="s">
        <v>15</v>
      </c>
      <c r="E1" s="6" t="s">
        <v>244</v>
      </c>
      <c r="F1" s="6" t="s">
        <v>245</v>
      </c>
      <c r="G1" s="6" t="s">
        <v>121</v>
      </c>
      <c r="H1" s="6" t="s">
        <v>246</v>
      </c>
      <c r="I1" s="6" t="s">
        <v>247</v>
      </c>
    </row>
    <row r="2" customFormat="false" ht="15" hidden="false" customHeight="false" outlineLevel="0" collapsed="false">
      <c r="A2" s="7" t="s">
        <v>248</v>
      </c>
      <c r="B2" s="7" t="s">
        <v>249</v>
      </c>
      <c r="C2" s="7" t="s">
        <v>125</v>
      </c>
      <c r="D2" s="7" t="str">
        <f aca="false">INDEX(Familias!B$2:B$17,MATCH(C2,Familias!A$2:A$17,0))</f>
        <v>Restaurantes con servicio a mesa</v>
      </c>
      <c r="E2" s="7" t="s">
        <v>250</v>
      </c>
      <c r="F2" s="7" t="s">
        <v>251</v>
      </c>
      <c r="G2" s="7" t="s">
        <v>128</v>
      </c>
      <c r="H2" s="7" t="s">
        <v>129</v>
      </c>
      <c r="I2" s="7"/>
    </row>
    <row r="3" customFormat="false" ht="15" hidden="false" customHeight="false" outlineLevel="0" collapsed="false">
      <c r="A3" s="7" t="s">
        <v>252</v>
      </c>
      <c r="B3" s="7" t="s">
        <v>253</v>
      </c>
      <c r="C3" s="7" t="s">
        <v>125</v>
      </c>
      <c r="D3" s="7" t="str">
        <f aca="false">INDEX(Familias!B$2:B$17,MATCH(C3,Familias!A$2:A$17,0))</f>
        <v>Restaurantes con servicio a mesa</v>
      </c>
      <c r="E3" s="7" t="s">
        <v>254</v>
      </c>
      <c r="F3" s="7" t="s">
        <v>255</v>
      </c>
      <c r="G3" s="7" t="s">
        <v>128</v>
      </c>
      <c r="H3" s="7" t="s">
        <v>129</v>
      </c>
      <c r="I3" s="7"/>
    </row>
    <row r="4" customFormat="false" ht="15" hidden="false" customHeight="false" outlineLevel="0" collapsed="false">
      <c r="A4" s="7" t="s">
        <v>256</v>
      </c>
      <c r="B4" s="7" t="s">
        <v>257</v>
      </c>
      <c r="C4" s="7" t="s">
        <v>125</v>
      </c>
      <c r="D4" s="7" t="str">
        <f aca="false">INDEX(Familias!B$2:B$17,MATCH(C4,Familias!A$2:A$17,0))</f>
        <v>Restaurantes con servicio a mesa</v>
      </c>
      <c r="E4" s="7" t="s">
        <v>258</v>
      </c>
      <c r="F4" s="7" t="s">
        <v>259</v>
      </c>
      <c r="G4" s="7" t="s">
        <v>128</v>
      </c>
      <c r="H4" s="7" t="s">
        <v>129</v>
      </c>
      <c r="I4" s="7"/>
    </row>
    <row r="5" customFormat="false" ht="15" hidden="false" customHeight="false" outlineLevel="0" collapsed="false">
      <c r="A5" s="7" t="s">
        <v>260</v>
      </c>
      <c r="B5" s="7" t="s">
        <v>261</v>
      </c>
      <c r="C5" s="7" t="s">
        <v>125</v>
      </c>
      <c r="D5" s="7" t="str">
        <f aca="false">INDEX(Familias!B$2:B$17,MATCH(C5,Familias!A$2:A$17,0))</f>
        <v>Restaurantes con servicio a mesa</v>
      </c>
      <c r="E5" s="7" t="s">
        <v>262</v>
      </c>
      <c r="F5" s="7" t="s">
        <v>263</v>
      </c>
      <c r="G5" s="7" t="s">
        <v>128</v>
      </c>
      <c r="H5" s="7" t="s">
        <v>129</v>
      </c>
      <c r="I5" s="7"/>
    </row>
    <row r="6" customFormat="false" ht="15" hidden="false" customHeight="false" outlineLevel="0" collapsed="false">
      <c r="A6" s="7" t="s">
        <v>264</v>
      </c>
      <c r="B6" s="7" t="s">
        <v>265</v>
      </c>
      <c r="C6" s="7" t="s">
        <v>125</v>
      </c>
      <c r="D6" s="7" t="str">
        <f aca="false">INDEX(Familias!B$2:B$17,MATCH(C6,Familias!A$2:A$17,0))</f>
        <v>Restaurantes con servicio a mesa</v>
      </c>
      <c r="E6" s="7" t="s">
        <v>266</v>
      </c>
      <c r="F6" s="7" t="s">
        <v>267</v>
      </c>
      <c r="G6" s="7" t="s">
        <v>128</v>
      </c>
      <c r="H6" s="7" t="s">
        <v>129</v>
      </c>
      <c r="I6" s="7"/>
    </row>
    <row r="7" customFormat="false" ht="15" hidden="false" customHeight="false" outlineLevel="0" collapsed="false">
      <c r="A7" s="7" t="s">
        <v>268</v>
      </c>
      <c r="B7" s="7" t="s">
        <v>269</v>
      </c>
      <c r="C7" s="7" t="s">
        <v>125</v>
      </c>
      <c r="D7" s="7" t="str">
        <f aca="false">INDEX(Familias!B$2:B$17,MATCH(C7,Familias!A$2:A$17,0))</f>
        <v>Restaurantes con servicio a mesa</v>
      </c>
      <c r="E7" s="7" t="s">
        <v>270</v>
      </c>
      <c r="F7" s="7" t="s">
        <v>271</v>
      </c>
      <c r="G7" s="7" t="s">
        <v>128</v>
      </c>
      <c r="H7" s="7" t="s">
        <v>129</v>
      </c>
      <c r="I7" s="7"/>
    </row>
    <row r="8" customFormat="false" ht="15" hidden="false" customHeight="false" outlineLevel="0" collapsed="false">
      <c r="A8" s="7" t="s">
        <v>272</v>
      </c>
      <c r="B8" s="7" t="s">
        <v>273</v>
      </c>
      <c r="C8" s="7" t="s">
        <v>125</v>
      </c>
      <c r="D8" s="7" t="str">
        <f aca="false">INDEX(Familias!B$2:B$17,MATCH(C8,Familias!A$2:A$17,0))</f>
        <v>Restaurantes con servicio a mesa</v>
      </c>
      <c r="E8" s="7" t="s">
        <v>274</v>
      </c>
      <c r="F8" s="7" t="s">
        <v>275</v>
      </c>
      <c r="G8" s="7" t="s">
        <v>128</v>
      </c>
      <c r="H8" s="7" t="s">
        <v>129</v>
      </c>
      <c r="I8" s="7"/>
    </row>
    <row r="9" customFormat="false" ht="15" hidden="false" customHeight="false" outlineLevel="0" collapsed="false">
      <c r="A9" s="7" t="s">
        <v>276</v>
      </c>
      <c r="B9" s="7" t="s">
        <v>277</v>
      </c>
      <c r="C9" s="7" t="s">
        <v>125</v>
      </c>
      <c r="D9" s="7" t="str">
        <f aca="false">INDEX(Familias!B$2:B$17,MATCH(C9,Familias!A$2:A$17,0))</f>
        <v>Restaurantes con servicio a mesa</v>
      </c>
      <c r="E9" s="7" t="s">
        <v>278</v>
      </c>
      <c r="F9" s="7" t="s">
        <v>279</v>
      </c>
      <c r="G9" s="7" t="s">
        <v>128</v>
      </c>
      <c r="H9" s="7" t="s">
        <v>129</v>
      </c>
      <c r="I9" s="7" t="s">
        <v>280</v>
      </c>
    </row>
    <row r="10" customFormat="false" ht="23.85" hidden="false" customHeight="false" outlineLevel="0" collapsed="false">
      <c r="A10" s="7" t="s">
        <v>281</v>
      </c>
      <c r="B10" s="7" t="s">
        <v>282</v>
      </c>
      <c r="C10" s="7" t="s">
        <v>125</v>
      </c>
      <c r="D10" s="7" t="str">
        <f aca="false">INDEX(Familias!B$2:B$17,MATCH(C10,Familias!A$2:A$17,0))</f>
        <v>Restaurantes con servicio a mesa</v>
      </c>
      <c r="E10" s="7" t="s">
        <v>283</v>
      </c>
      <c r="F10" s="7" t="s">
        <v>284</v>
      </c>
      <c r="G10" s="7" t="s">
        <v>128</v>
      </c>
      <c r="H10" s="7" t="s">
        <v>129</v>
      </c>
      <c r="I10" s="7" t="s">
        <v>285</v>
      </c>
    </row>
    <row r="11" customFormat="false" ht="15" hidden="false" customHeight="false" outlineLevel="0" collapsed="false">
      <c r="A11" s="7" t="s">
        <v>286</v>
      </c>
      <c r="B11" s="7" t="s">
        <v>287</v>
      </c>
      <c r="C11" s="7" t="s">
        <v>125</v>
      </c>
      <c r="D11" s="7" t="str">
        <f aca="false">INDEX(Familias!B$2:B$17,MATCH(C11,Familias!A$2:A$17,0))</f>
        <v>Restaurantes con servicio a mesa</v>
      </c>
      <c r="E11" s="7" t="s">
        <v>288</v>
      </c>
      <c r="F11" s="7" t="s">
        <v>289</v>
      </c>
      <c r="G11" s="7" t="s">
        <v>128</v>
      </c>
      <c r="H11" s="7" t="s">
        <v>129</v>
      </c>
      <c r="I11" s="7"/>
    </row>
    <row r="12" customFormat="false" ht="15" hidden="false" customHeight="false" outlineLevel="0" collapsed="false">
      <c r="A12" s="7" t="s">
        <v>290</v>
      </c>
      <c r="B12" s="7" t="s">
        <v>291</v>
      </c>
      <c r="C12" s="7" t="s">
        <v>125</v>
      </c>
      <c r="D12" s="7" t="str">
        <f aca="false">INDEX(Familias!B$2:B$17,MATCH(C12,Familias!A$2:A$17,0))</f>
        <v>Restaurantes con servicio a mesa</v>
      </c>
      <c r="E12" s="7" t="s">
        <v>292</v>
      </c>
      <c r="F12" s="7" t="s">
        <v>293</v>
      </c>
      <c r="G12" s="7" t="s">
        <v>128</v>
      </c>
      <c r="H12" s="7" t="s">
        <v>129</v>
      </c>
      <c r="I12" s="7"/>
    </row>
    <row r="13" customFormat="false" ht="15" hidden="false" customHeight="false" outlineLevel="0" collapsed="false">
      <c r="A13" s="7" t="s">
        <v>294</v>
      </c>
      <c r="B13" s="7" t="s">
        <v>295</v>
      </c>
      <c r="C13" s="7" t="s">
        <v>125</v>
      </c>
      <c r="D13" s="7" t="str">
        <f aca="false">INDEX(Familias!B$2:B$17,MATCH(C13,Familias!A$2:A$17,0))</f>
        <v>Restaurantes con servicio a mesa</v>
      </c>
      <c r="E13" s="7" t="s">
        <v>296</v>
      </c>
      <c r="F13" s="7" t="s">
        <v>297</v>
      </c>
      <c r="G13" s="7" t="s">
        <v>128</v>
      </c>
      <c r="H13" s="7" t="s">
        <v>129</v>
      </c>
      <c r="I13" s="7"/>
    </row>
    <row r="14" customFormat="false" ht="15" hidden="false" customHeight="false" outlineLevel="0" collapsed="false">
      <c r="A14" s="7" t="s">
        <v>298</v>
      </c>
      <c r="B14" s="7" t="s">
        <v>299</v>
      </c>
      <c r="C14" s="7" t="s">
        <v>125</v>
      </c>
      <c r="D14" s="7" t="str">
        <f aca="false">INDEX(Familias!B$2:B$17,MATCH(C14,Familias!A$2:A$17,0))</f>
        <v>Restaurantes con servicio a mesa</v>
      </c>
      <c r="E14" s="7" t="s">
        <v>300</v>
      </c>
      <c r="F14" s="7" t="s">
        <v>301</v>
      </c>
      <c r="G14" s="7" t="s">
        <v>128</v>
      </c>
      <c r="H14" s="7" t="s">
        <v>129</v>
      </c>
      <c r="I14" s="7"/>
    </row>
    <row r="15" customFormat="false" ht="15" hidden="false" customHeight="false" outlineLevel="0" collapsed="false">
      <c r="A15" s="7" t="s">
        <v>302</v>
      </c>
      <c r="B15" s="7" t="s">
        <v>303</v>
      </c>
      <c r="C15" s="7" t="s">
        <v>125</v>
      </c>
      <c r="D15" s="7" t="str">
        <f aca="false">INDEX(Familias!B$2:B$17,MATCH(C15,Familias!A$2:A$17,0))</f>
        <v>Restaurantes con servicio a mesa</v>
      </c>
      <c r="E15" s="7" t="s">
        <v>304</v>
      </c>
      <c r="F15" s="7" t="s">
        <v>305</v>
      </c>
      <c r="G15" s="7" t="s">
        <v>128</v>
      </c>
      <c r="H15" s="7" t="s">
        <v>129</v>
      </c>
      <c r="I15" s="7"/>
    </row>
    <row r="16" customFormat="false" ht="15" hidden="false" customHeight="false" outlineLevel="0" collapsed="false">
      <c r="A16" s="7" t="s">
        <v>306</v>
      </c>
      <c r="B16" s="7" t="s">
        <v>307</v>
      </c>
      <c r="C16" s="7" t="s">
        <v>125</v>
      </c>
      <c r="D16" s="7" t="str">
        <f aca="false">INDEX(Familias!B$2:B$17,MATCH(C16,Familias!A$2:A$17,0))</f>
        <v>Restaurantes con servicio a mesa</v>
      </c>
      <c r="E16" s="7" t="s">
        <v>308</v>
      </c>
      <c r="F16" s="7" t="s">
        <v>309</v>
      </c>
      <c r="G16" s="7" t="s">
        <v>128</v>
      </c>
      <c r="H16" s="7" t="s">
        <v>129</v>
      </c>
      <c r="I16" s="7"/>
    </row>
    <row r="17" customFormat="false" ht="15" hidden="false" customHeight="false" outlineLevel="0" collapsed="false">
      <c r="A17" s="7" t="s">
        <v>310</v>
      </c>
      <c r="B17" s="7" t="s">
        <v>311</v>
      </c>
      <c r="C17" s="7" t="s">
        <v>125</v>
      </c>
      <c r="D17" s="7" t="str">
        <f aca="false">INDEX(Familias!B$2:B$17,MATCH(C17,Familias!A$2:A$17,0))</f>
        <v>Restaurantes con servicio a mesa</v>
      </c>
      <c r="E17" s="7" t="s">
        <v>312</v>
      </c>
      <c r="F17" s="7" t="s">
        <v>313</v>
      </c>
      <c r="G17" s="7" t="s">
        <v>128</v>
      </c>
      <c r="H17" s="7" t="s">
        <v>129</v>
      </c>
      <c r="I17" s="7"/>
    </row>
    <row r="18" customFormat="false" ht="15" hidden="false" customHeight="false" outlineLevel="0" collapsed="false">
      <c r="A18" s="7" t="s">
        <v>314</v>
      </c>
      <c r="B18" s="7" t="s">
        <v>315</v>
      </c>
      <c r="C18" s="7" t="s">
        <v>125</v>
      </c>
      <c r="D18" s="7" t="str">
        <f aca="false">INDEX(Familias!B$2:B$17,MATCH(C18,Familias!A$2:A$17,0))</f>
        <v>Restaurantes con servicio a mesa</v>
      </c>
      <c r="E18" s="7" t="s">
        <v>316</v>
      </c>
      <c r="F18" s="7" t="s">
        <v>251</v>
      </c>
      <c r="G18" s="7" t="s">
        <v>128</v>
      </c>
      <c r="H18" s="7" t="s">
        <v>129</v>
      </c>
      <c r="I18" s="7"/>
    </row>
    <row r="19" customFormat="false" ht="15" hidden="false" customHeight="false" outlineLevel="0" collapsed="false">
      <c r="A19" s="7" t="s">
        <v>317</v>
      </c>
      <c r="B19" s="7" t="s">
        <v>318</v>
      </c>
      <c r="C19" s="7" t="s">
        <v>125</v>
      </c>
      <c r="D19" s="7" t="str">
        <f aca="false">INDEX(Familias!B$2:B$17,MATCH(C19,Familias!A$2:A$17,0))</f>
        <v>Restaurantes con servicio a mesa</v>
      </c>
      <c r="E19" s="7" t="s">
        <v>319</v>
      </c>
      <c r="F19" s="7" t="s">
        <v>320</v>
      </c>
      <c r="G19" s="7" t="s">
        <v>128</v>
      </c>
      <c r="H19" s="7" t="s">
        <v>129</v>
      </c>
      <c r="I19" s="7"/>
    </row>
    <row r="20" customFormat="false" ht="15" hidden="false" customHeight="false" outlineLevel="0" collapsed="false">
      <c r="A20" s="7" t="s">
        <v>321</v>
      </c>
      <c r="B20" s="7" t="s">
        <v>322</v>
      </c>
      <c r="C20" s="7" t="s">
        <v>132</v>
      </c>
      <c r="D20" s="7" t="str">
        <f aca="false">INDEX(Familias!B$2:B$17,MATCH(C20,Familias!A$2:A$17,0))</f>
        <v>Comida rápida y para llevar</v>
      </c>
      <c r="E20" s="7" t="s">
        <v>323</v>
      </c>
      <c r="F20" s="7" t="s">
        <v>324</v>
      </c>
      <c r="G20" s="7" t="s">
        <v>135</v>
      </c>
      <c r="H20" s="7" t="s">
        <v>129</v>
      </c>
      <c r="I20" s="7"/>
    </row>
    <row r="21" customFormat="false" ht="15" hidden="false" customHeight="false" outlineLevel="0" collapsed="false">
      <c r="A21" s="7" t="s">
        <v>325</v>
      </c>
      <c r="B21" s="7" t="s">
        <v>326</v>
      </c>
      <c r="C21" s="7" t="s">
        <v>132</v>
      </c>
      <c r="D21" s="7" t="str">
        <f aca="false">INDEX(Familias!B$2:B$17,MATCH(C21,Familias!A$2:A$17,0))</f>
        <v>Comida rápida y para llevar</v>
      </c>
      <c r="E21" s="7" t="s">
        <v>327</v>
      </c>
      <c r="F21" s="7" t="s">
        <v>328</v>
      </c>
      <c r="G21" s="7" t="s">
        <v>135</v>
      </c>
      <c r="H21" s="7" t="s">
        <v>129</v>
      </c>
      <c r="I21" s="7"/>
    </row>
    <row r="22" customFormat="false" ht="15" hidden="false" customHeight="false" outlineLevel="0" collapsed="false">
      <c r="A22" s="7" t="s">
        <v>329</v>
      </c>
      <c r="B22" s="7" t="s">
        <v>330</v>
      </c>
      <c r="C22" s="7" t="s">
        <v>132</v>
      </c>
      <c r="D22" s="7" t="str">
        <f aca="false">INDEX(Familias!B$2:B$17,MATCH(C22,Familias!A$2:A$17,0))</f>
        <v>Comida rápida y para llevar</v>
      </c>
      <c r="E22" s="7" t="s">
        <v>331</v>
      </c>
      <c r="F22" s="7" t="s">
        <v>332</v>
      </c>
      <c r="G22" s="7" t="s">
        <v>135</v>
      </c>
      <c r="H22" s="7" t="s">
        <v>129</v>
      </c>
      <c r="I22" s="7"/>
    </row>
    <row r="23" customFormat="false" ht="15" hidden="false" customHeight="false" outlineLevel="0" collapsed="false">
      <c r="A23" s="7" t="s">
        <v>333</v>
      </c>
      <c r="B23" s="7" t="s">
        <v>334</v>
      </c>
      <c r="C23" s="7" t="s">
        <v>132</v>
      </c>
      <c r="D23" s="7" t="str">
        <f aca="false">INDEX(Familias!B$2:B$17,MATCH(C23,Familias!A$2:A$17,0))</f>
        <v>Comida rápida y para llevar</v>
      </c>
      <c r="E23" s="7" t="s">
        <v>335</v>
      </c>
      <c r="F23" s="7" t="s">
        <v>336</v>
      </c>
      <c r="G23" s="7" t="s">
        <v>135</v>
      </c>
      <c r="H23" s="7" t="s">
        <v>129</v>
      </c>
      <c r="I23" s="7"/>
    </row>
    <row r="24" customFormat="false" ht="15" hidden="false" customHeight="false" outlineLevel="0" collapsed="false">
      <c r="A24" s="7" t="s">
        <v>337</v>
      </c>
      <c r="B24" s="7" t="s">
        <v>338</v>
      </c>
      <c r="C24" s="7" t="s">
        <v>132</v>
      </c>
      <c r="D24" s="7" t="str">
        <f aca="false">INDEX(Familias!B$2:B$17,MATCH(C24,Familias!A$2:A$17,0))</f>
        <v>Comida rápida y para llevar</v>
      </c>
      <c r="E24" s="7" t="s">
        <v>339</v>
      </c>
      <c r="F24" s="7" t="s">
        <v>340</v>
      </c>
      <c r="G24" s="7" t="s">
        <v>135</v>
      </c>
      <c r="H24" s="7" t="s">
        <v>129</v>
      </c>
      <c r="I24" s="7"/>
    </row>
    <row r="25" customFormat="false" ht="15" hidden="false" customHeight="false" outlineLevel="0" collapsed="false">
      <c r="A25" s="7" t="s">
        <v>341</v>
      </c>
      <c r="B25" s="7" t="s">
        <v>342</v>
      </c>
      <c r="C25" s="7" t="s">
        <v>132</v>
      </c>
      <c r="D25" s="7" t="str">
        <f aca="false">INDEX(Familias!B$2:B$17,MATCH(C25,Familias!A$2:A$17,0))</f>
        <v>Comida rápida y para llevar</v>
      </c>
      <c r="E25" s="7" t="s">
        <v>343</v>
      </c>
      <c r="F25" s="7" t="s">
        <v>344</v>
      </c>
      <c r="G25" s="7" t="s">
        <v>135</v>
      </c>
      <c r="H25" s="7" t="s">
        <v>129</v>
      </c>
      <c r="I25" s="7"/>
    </row>
    <row r="26" customFormat="false" ht="15" hidden="false" customHeight="false" outlineLevel="0" collapsed="false">
      <c r="A26" s="7" t="s">
        <v>345</v>
      </c>
      <c r="B26" s="7" t="s">
        <v>346</v>
      </c>
      <c r="C26" s="7" t="s">
        <v>132</v>
      </c>
      <c r="D26" s="7" t="str">
        <f aca="false">INDEX(Familias!B$2:B$17,MATCH(C26,Familias!A$2:A$17,0))</f>
        <v>Comida rápida y para llevar</v>
      </c>
      <c r="E26" s="7" t="s">
        <v>347</v>
      </c>
      <c r="F26" s="7" t="s">
        <v>348</v>
      </c>
      <c r="G26" s="7" t="s">
        <v>135</v>
      </c>
      <c r="H26" s="7" t="s">
        <v>129</v>
      </c>
      <c r="I26" s="7"/>
    </row>
    <row r="27" customFormat="false" ht="15" hidden="false" customHeight="false" outlineLevel="0" collapsed="false">
      <c r="A27" s="7" t="s">
        <v>349</v>
      </c>
      <c r="B27" s="7" t="s">
        <v>350</v>
      </c>
      <c r="C27" s="7" t="s">
        <v>132</v>
      </c>
      <c r="D27" s="7" t="str">
        <f aca="false">INDEX(Familias!B$2:B$17,MATCH(C27,Familias!A$2:A$17,0))</f>
        <v>Comida rápida y para llevar</v>
      </c>
      <c r="E27" s="7" t="s">
        <v>351</v>
      </c>
      <c r="F27" s="7" t="s">
        <v>352</v>
      </c>
      <c r="G27" s="7" t="s">
        <v>135</v>
      </c>
      <c r="H27" s="7" t="s">
        <v>129</v>
      </c>
      <c r="I27" s="7"/>
    </row>
    <row r="28" customFormat="false" ht="15" hidden="false" customHeight="false" outlineLevel="0" collapsed="false">
      <c r="A28" s="7" t="s">
        <v>353</v>
      </c>
      <c r="B28" s="7" t="s">
        <v>354</v>
      </c>
      <c r="C28" s="7" t="s">
        <v>132</v>
      </c>
      <c r="D28" s="7" t="str">
        <f aca="false">INDEX(Familias!B$2:B$17,MATCH(C28,Familias!A$2:A$17,0))</f>
        <v>Comida rápida y para llevar</v>
      </c>
      <c r="E28" s="7" t="s">
        <v>355</v>
      </c>
      <c r="F28" s="7" t="s">
        <v>356</v>
      </c>
      <c r="G28" s="7" t="s">
        <v>135</v>
      </c>
      <c r="H28" s="7" t="s">
        <v>129</v>
      </c>
      <c r="I28" s="7"/>
    </row>
    <row r="29" customFormat="false" ht="15" hidden="false" customHeight="false" outlineLevel="0" collapsed="false">
      <c r="A29" s="7" t="s">
        <v>357</v>
      </c>
      <c r="B29" s="7" t="s">
        <v>358</v>
      </c>
      <c r="C29" s="7" t="s">
        <v>132</v>
      </c>
      <c r="D29" s="7" t="str">
        <f aca="false">INDEX(Familias!B$2:B$17,MATCH(C29,Familias!A$2:A$17,0))</f>
        <v>Comida rápida y para llevar</v>
      </c>
      <c r="E29" s="7" t="s">
        <v>359</v>
      </c>
      <c r="F29" s="7" t="s">
        <v>360</v>
      </c>
      <c r="G29" s="7" t="s">
        <v>135</v>
      </c>
      <c r="H29" s="7" t="s">
        <v>129</v>
      </c>
      <c r="I29" s="7"/>
    </row>
    <row r="30" customFormat="false" ht="15" hidden="false" customHeight="false" outlineLevel="0" collapsed="false">
      <c r="A30" s="7" t="s">
        <v>361</v>
      </c>
      <c r="B30" s="7" t="s">
        <v>362</v>
      </c>
      <c r="C30" s="7" t="s">
        <v>132</v>
      </c>
      <c r="D30" s="7" t="str">
        <f aca="false">INDEX(Familias!B$2:B$17,MATCH(C30,Familias!A$2:A$17,0))</f>
        <v>Comida rápida y para llevar</v>
      </c>
      <c r="E30" s="7" t="s">
        <v>363</v>
      </c>
      <c r="F30" s="7" t="s">
        <v>364</v>
      </c>
      <c r="G30" s="7" t="s">
        <v>135</v>
      </c>
      <c r="H30" s="7" t="s">
        <v>129</v>
      </c>
      <c r="I30" s="7"/>
    </row>
    <row r="31" customFormat="false" ht="15" hidden="false" customHeight="false" outlineLevel="0" collapsed="false">
      <c r="A31" s="7" t="s">
        <v>365</v>
      </c>
      <c r="B31" s="7" t="s">
        <v>366</v>
      </c>
      <c r="C31" s="7" t="s">
        <v>132</v>
      </c>
      <c r="D31" s="7" t="str">
        <f aca="false">INDEX(Familias!B$2:B$17,MATCH(C31,Familias!A$2:A$17,0))</f>
        <v>Comida rápida y para llevar</v>
      </c>
      <c r="E31" s="7" t="s">
        <v>367</v>
      </c>
      <c r="F31" s="7" t="s">
        <v>368</v>
      </c>
      <c r="G31" s="7" t="s">
        <v>135</v>
      </c>
      <c r="H31" s="7" t="s">
        <v>129</v>
      </c>
      <c r="I31" s="7"/>
    </row>
    <row r="32" customFormat="false" ht="15" hidden="false" customHeight="false" outlineLevel="0" collapsed="false">
      <c r="A32" s="7" t="s">
        <v>369</v>
      </c>
      <c r="B32" s="7" t="s">
        <v>370</v>
      </c>
      <c r="C32" s="7" t="s">
        <v>132</v>
      </c>
      <c r="D32" s="7" t="str">
        <f aca="false">INDEX(Familias!B$2:B$17,MATCH(C32,Familias!A$2:A$17,0))</f>
        <v>Comida rápida y para llevar</v>
      </c>
      <c r="E32" s="7" t="s">
        <v>371</v>
      </c>
      <c r="F32" s="7" t="s">
        <v>336</v>
      </c>
      <c r="G32" s="7" t="s">
        <v>135</v>
      </c>
      <c r="H32" s="7" t="s">
        <v>129</v>
      </c>
      <c r="I32" s="7"/>
    </row>
    <row r="33" customFormat="false" ht="15" hidden="false" customHeight="false" outlineLevel="0" collapsed="false">
      <c r="A33" s="7" t="s">
        <v>372</v>
      </c>
      <c r="B33" s="7" t="s">
        <v>373</v>
      </c>
      <c r="C33" s="7" t="s">
        <v>132</v>
      </c>
      <c r="D33" s="7" t="str">
        <f aca="false">INDEX(Familias!B$2:B$17,MATCH(C33,Familias!A$2:A$17,0))</f>
        <v>Comida rápida y para llevar</v>
      </c>
      <c r="E33" s="7" t="s">
        <v>374</v>
      </c>
      <c r="F33" s="7" t="s">
        <v>375</v>
      </c>
      <c r="G33" s="7" t="s">
        <v>135</v>
      </c>
      <c r="H33" s="7" t="s">
        <v>129</v>
      </c>
      <c r="I33" s="7"/>
    </row>
    <row r="34" customFormat="false" ht="15" hidden="false" customHeight="false" outlineLevel="0" collapsed="false">
      <c r="A34" s="7" t="s">
        <v>376</v>
      </c>
      <c r="B34" s="7" t="s">
        <v>377</v>
      </c>
      <c r="C34" s="7" t="s">
        <v>138</v>
      </c>
      <c r="D34" s="7" t="str">
        <f aca="false">INDEX(Familias!B$2:B$17,MATCH(C34,Familias!A$2:A$17,0))</f>
        <v>Panadería, pastelería y producción</v>
      </c>
      <c r="E34" s="7" t="s">
        <v>378</v>
      </c>
      <c r="F34" s="7" t="s">
        <v>379</v>
      </c>
      <c r="G34" s="7" t="s">
        <v>135</v>
      </c>
      <c r="H34" s="7" t="s">
        <v>129</v>
      </c>
      <c r="I34" s="7"/>
    </row>
    <row r="35" customFormat="false" ht="15" hidden="false" customHeight="false" outlineLevel="0" collapsed="false">
      <c r="A35" s="7" t="s">
        <v>380</v>
      </c>
      <c r="B35" s="7" t="s">
        <v>381</v>
      </c>
      <c r="C35" s="7" t="s">
        <v>138</v>
      </c>
      <c r="D35" s="7" t="str">
        <f aca="false">INDEX(Familias!B$2:B$17,MATCH(C35,Familias!A$2:A$17,0))</f>
        <v>Panadería, pastelería y producción</v>
      </c>
      <c r="E35" s="7" t="s">
        <v>382</v>
      </c>
      <c r="F35" s="7" t="s">
        <v>383</v>
      </c>
      <c r="G35" s="7" t="s">
        <v>135</v>
      </c>
      <c r="H35" s="7" t="s">
        <v>129</v>
      </c>
      <c r="I35" s="7" t="s">
        <v>384</v>
      </c>
    </row>
    <row r="36" customFormat="false" ht="15" hidden="false" customHeight="false" outlineLevel="0" collapsed="false">
      <c r="A36" s="7" t="s">
        <v>385</v>
      </c>
      <c r="B36" s="7" t="s">
        <v>386</v>
      </c>
      <c r="C36" s="7" t="s">
        <v>138</v>
      </c>
      <c r="D36" s="7" t="str">
        <f aca="false">INDEX(Familias!B$2:B$17,MATCH(C36,Familias!A$2:A$17,0))</f>
        <v>Panadería, pastelería y producción</v>
      </c>
      <c r="E36" s="7" t="s">
        <v>387</v>
      </c>
      <c r="F36" s="7" t="s">
        <v>388</v>
      </c>
      <c r="G36" s="7" t="s">
        <v>135</v>
      </c>
      <c r="H36" s="7" t="s">
        <v>129</v>
      </c>
      <c r="I36" s="7" t="s">
        <v>384</v>
      </c>
    </row>
    <row r="37" customFormat="false" ht="15" hidden="false" customHeight="false" outlineLevel="0" collapsed="false">
      <c r="A37" s="7" t="s">
        <v>389</v>
      </c>
      <c r="B37" s="7" t="s">
        <v>390</v>
      </c>
      <c r="C37" s="7" t="s">
        <v>138</v>
      </c>
      <c r="D37" s="7" t="str">
        <f aca="false">INDEX(Familias!B$2:B$17,MATCH(C37,Familias!A$2:A$17,0))</f>
        <v>Panadería, pastelería y producción</v>
      </c>
      <c r="E37" s="7" t="s">
        <v>391</v>
      </c>
      <c r="F37" s="7" t="s">
        <v>392</v>
      </c>
      <c r="G37" s="7" t="s">
        <v>135</v>
      </c>
      <c r="H37" s="7" t="s">
        <v>129</v>
      </c>
      <c r="I37" s="7"/>
    </row>
    <row r="38" customFormat="false" ht="15" hidden="false" customHeight="false" outlineLevel="0" collapsed="false">
      <c r="A38" s="7" t="s">
        <v>393</v>
      </c>
      <c r="B38" s="7" t="s">
        <v>394</v>
      </c>
      <c r="C38" s="7" t="s">
        <v>138</v>
      </c>
      <c r="D38" s="7" t="str">
        <f aca="false">INDEX(Familias!B$2:B$17,MATCH(C38,Familias!A$2:A$17,0))</f>
        <v>Panadería, pastelería y producción</v>
      </c>
      <c r="E38" s="7" t="s">
        <v>395</v>
      </c>
      <c r="F38" s="7" t="s">
        <v>396</v>
      </c>
      <c r="G38" s="7" t="s">
        <v>135</v>
      </c>
      <c r="H38" s="7" t="s">
        <v>129</v>
      </c>
      <c r="I38" s="7"/>
    </row>
    <row r="39" customFormat="false" ht="15" hidden="false" customHeight="false" outlineLevel="0" collapsed="false">
      <c r="A39" s="7" t="s">
        <v>397</v>
      </c>
      <c r="B39" s="7" t="s">
        <v>398</v>
      </c>
      <c r="C39" s="7" t="s">
        <v>138</v>
      </c>
      <c r="D39" s="7" t="str">
        <f aca="false">INDEX(Familias!B$2:B$17,MATCH(C39,Familias!A$2:A$17,0))</f>
        <v>Panadería, pastelería y producción</v>
      </c>
      <c r="E39" s="7" t="s">
        <v>399</v>
      </c>
      <c r="F39" s="7" t="s">
        <v>400</v>
      </c>
      <c r="G39" s="7" t="s">
        <v>135</v>
      </c>
      <c r="H39" s="7" t="s">
        <v>129</v>
      </c>
      <c r="I39" s="7"/>
    </row>
    <row r="40" customFormat="false" ht="15" hidden="false" customHeight="false" outlineLevel="0" collapsed="false">
      <c r="A40" s="7" t="s">
        <v>401</v>
      </c>
      <c r="B40" s="7" t="s">
        <v>402</v>
      </c>
      <c r="C40" s="7" t="s">
        <v>138</v>
      </c>
      <c r="D40" s="7" t="str">
        <f aca="false">INDEX(Familias!B$2:B$17,MATCH(C40,Familias!A$2:A$17,0))</f>
        <v>Panadería, pastelería y producción</v>
      </c>
      <c r="E40" s="7" t="s">
        <v>403</v>
      </c>
      <c r="F40" s="7" t="s">
        <v>404</v>
      </c>
      <c r="G40" s="7" t="s">
        <v>135</v>
      </c>
      <c r="H40" s="7" t="s">
        <v>405</v>
      </c>
      <c r="I40" s="7"/>
    </row>
    <row r="41" customFormat="false" ht="15" hidden="false" customHeight="false" outlineLevel="0" collapsed="false">
      <c r="A41" s="7" t="s">
        <v>406</v>
      </c>
      <c r="B41" s="7" t="s">
        <v>407</v>
      </c>
      <c r="C41" s="7" t="s">
        <v>138</v>
      </c>
      <c r="D41" s="7" t="str">
        <f aca="false">INDEX(Familias!B$2:B$17,MATCH(C41,Familias!A$2:A$17,0))</f>
        <v>Panadería, pastelería y producción</v>
      </c>
      <c r="E41" s="7" t="s">
        <v>408</v>
      </c>
      <c r="F41" s="7" t="s">
        <v>409</v>
      </c>
      <c r="G41" s="7" t="s">
        <v>135</v>
      </c>
      <c r="H41" s="7" t="s">
        <v>405</v>
      </c>
      <c r="I41" s="7"/>
    </row>
    <row r="42" customFormat="false" ht="15" hidden="false" customHeight="false" outlineLevel="0" collapsed="false">
      <c r="A42" s="7" t="s">
        <v>410</v>
      </c>
      <c r="B42" s="7" t="s">
        <v>411</v>
      </c>
      <c r="C42" s="7" t="s">
        <v>138</v>
      </c>
      <c r="D42" s="7" t="str">
        <f aca="false">INDEX(Familias!B$2:B$17,MATCH(C42,Familias!A$2:A$17,0))</f>
        <v>Panadería, pastelería y producción</v>
      </c>
      <c r="E42" s="7" t="s">
        <v>412</v>
      </c>
      <c r="F42" s="7" t="s">
        <v>413</v>
      </c>
      <c r="G42" s="7" t="s">
        <v>135</v>
      </c>
      <c r="H42" s="7" t="s">
        <v>414</v>
      </c>
      <c r="I42" s="7"/>
    </row>
    <row r="43" customFormat="false" ht="15" hidden="false" customHeight="false" outlineLevel="0" collapsed="false">
      <c r="A43" s="7" t="s">
        <v>415</v>
      </c>
      <c r="B43" s="7" t="s">
        <v>416</v>
      </c>
      <c r="C43" s="7" t="s">
        <v>138</v>
      </c>
      <c r="D43" s="7" t="str">
        <f aca="false">INDEX(Familias!B$2:B$17,MATCH(C43,Familias!A$2:A$17,0))</f>
        <v>Panadería, pastelería y producción</v>
      </c>
      <c r="E43" s="7" t="s">
        <v>417</v>
      </c>
      <c r="F43" s="7" t="s">
        <v>418</v>
      </c>
      <c r="G43" s="7" t="s">
        <v>135</v>
      </c>
      <c r="H43" s="7" t="s">
        <v>419</v>
      </c>
      <c r="I43" s="7"/>
    </row>
    <row r="44" customFormat="false" ht="15" hidden="false" customHeight="false" outlineLevel="0" collapsed="false">
      <c r="A44" s="7" t="s">
        <v>420</v>
      </c>
      <c r="B44" s="7" t="s">
        <v>421</v>
      </c>
      <c r="C44" s="7" t="s">
        <v>138</v>
      </c>
      <c r="D44" s="7" t="str">
        <f aca="false">INDEX(Familias!B$2:B$17,MATCH(C44,Familias!A$2:A$17,0))</f>
        <v>Panadería, pastelería y producción</v>
      </c>
      <c r="E44" s="7" t="s">
        <v>422</v>
      </c>
      <c r="F44" s="7" t="s">
        <v>423</v>
      </c>
      <c r="G44" s="7" t="s">
        <v>135</v>
      </c>
      <c r="H44" s="7" t="s">
        <v>129</v>
      </c>
      <c r="I44" s="7"/>
    </row>
    <row r="45" customFormat="false" ht="15" hidden="false" customHeight="false" outlineLevel="0" collapsed="false">
      <c r="A45" s="7" t="s">
        <v>424</v>
      </c>
      <c r="B45" s="7" t="s">
        <v>425</v>
      </c>
      <c r="C45" s="7" t="s">
        <v>138</v>
      </c>
      <c r="D45" s="7" t="str">
        <f aca="false">INDEX(Familias!B$2:B$17,MATCH(C45,Familias!A$2:A$17,0))</f>
        <v>Panadería, pastelería y producción</v>
      </c>
      <c r="E45" s="7" t="s">
        <v>426</v>
      </c>
      <c r="F45" s="7" t="s">
        <v>427</v>
      </c>
      <c r="G45" s="7" t="s">
        <v>135</v>
      </c>
      <c r="H45" s="7" t="s">
        <v>129</v>
      </c>
      <c r="I45" s="7" t="s">
        <v>428</v>
      </c>
    </row>
    <row r="46" customFormat="false" ht="15" hidden="false" customHeight="false" outlineLevel="0" collapsed="false">
      <c r="A46" s="7" t="s">
        <v>429</v>
      </c>
      <c r="B46" s="7" t="s">
        <v>430</v>
      </c>
      <c r="C46" s="7" t="s">
        <v>143</v>
      </c>
      <c r="D46" s="7" t="str">
        <f aca="false">INDEX(Familias!B$2:B$17,MATCH(C46,Familias!A$2:A$17,0))</f>
        <v>Abarrotes y mercado</v>
      </c>
      <c r="E46" s="7" t="s">
        <v>431</v>
      </c>
      <c r="F46" s="7" t="s">
        <v>432</v>
      </c>
      <c r="G46" s="7" t="s">
        <v>135</v>
      </c>
      <c r="H46" s="7" t="s">
        <v>129</v>
      </c>
      <c r="I46" s="7"/>
    </row>
    <row r="47" customFormat="false" ht="15" hidden="false" customHeight="false" outlineLevel="0" collapsed="false">
      <c r="A47" s="7" t="s">
        <v>433</v>
      </c>
      <c r="B47" s="7" t="s">
        <v>434</v>
      </c>
      <c r="C47" s="7" t="s">
        <v>143</v>
      </c>
      <c r="D47" s="7" t="str">
        <f aca="false">INDEX(Familias!B$2:B$17,MATCH(C47,Familias!A$2:A$17,0))</f>
        <v>Abarrotes y mercado</v>
      </c>
      <c r="E47" s="7" t="s">
        <v>435</v>
      </c>
      <c r="F47" s="7" t="s">
        <v>436</v>
      </c>
      <c r="G47" s="7" t="s">
        <v>135</v>
      </c>
      <c r="H47" s="7" t="s">
        <v>129</v>
      </c>
      <c r="I47" s="7"/>
    </row>
    <row r="48" customFormat="false" ht="15" hidden="false" customHeight="false" outlineLevel="0" collapsed="false">
      <c r="A48" s="7" t="s">
        <v>437</v>
      </c>
      <c r="B48" s="7" t="s">
        <v>438</v>
      </c>
      <c r="C48" s="7" t="s">
        <v>143</v>
      </c>
      <c r="D48" s="7" t="str">
        <f aca="false">INDEX(Familias!B$2:B$17,MATCH(C48,Familias!A$2:A$17,0))</f>
        <v>Abarrotes y mercado</v>
      </c>
      <c r="E48" s="7" t="s">
        <v>439</v>
      </c>
      <c r="F48" s="7" t="s">
        <v>440</v>
      </c>
      <c r="G48" s="7" t="s">
        <v>135</v>
      </c>
      <c r="H48" s="7" t="s">
        <v>129</v>
      </c>
      <c r="I48" s="7"/>
    </row>
    <row r="49" customFormat="false" ht="15" hidden="false" customHeight="false" outlineLevel="0" collapsed="false">
      <c r="A49" s="7" t="s">
        <v>441</v>
      </c>
      <c r="B49" s="7" t="s">
        <v>442</v>
      </c>
      <c r="C49" s="7" t="s">
        <v>143</v>
      </c>
      <c r="D49" s="7" t="str">
        <f aca="false">INDEX(Familias!B$2:B$17,MATCH(C49,Familias!A$2:A$17,0))</f>
        <v>Abarrotes y mercado</v>
      </c>
      <c r="E49" s="7" t="s">
        <v>443</v>
      </c>
      <c r="F49" s="7" t="s">
        <v>444</v>
      </c>
      <c r="G49" s="7" t="s">
        <v>135</v>
      </c>
      <c r="H49" s="7" t="s">
        <v>129</v>
      </c>
      <c r="I49" s="7"/>
    </row>
    <row r="50" customFormat="false" ht="15" hidden="false" customHeight="false" outlineLevel="0" collapsed="false">
      <c r="A50" s="7" t="s">
        <v>445</v>
      </c>
      <c r="B50" s="7" t="s">
        <v>446</v>
      </c>
      <c r="C50" s="7" t="s">
        <v>143</v>
      </c>
      <c r="D50" s="7" t="str">
        <f aca="false">INDEX(Familias!B$2:B$17,MATCH(C50,Familias!A$2:A$17,0))</f>
        <v>Abarrotes y mercado</v>
      </c>
      <c r="E50" s="7" t="s">
        <v>447</v>
      </c>
      <c r="F50" s="7" t="s">
        <v>448</v>
      </c>
      <c r="G50" s="7" t="s">
        <v>135</v>
      </c>
      <c r="H50" s="7" t="s">
        <v>405</v>
      </c>
      <c r="I50" s="7"/>
    </row>
    <row r="51" customFormat="false" ht="15" hidden="false" customHeight="false" outlineLevel="0" collapsed="false">
      <c r="A51" s="7" t="s">
        <v>449</v>
      </c>
      <c r="B51" s="7" t="s">
        <v>450</v>
      </c>
      <c r="C51" s="7" t="s">
        <v>143</v>
      </c>
      <c r="D51" s="7" t="str">
        <f aca="false">INDEX(Familias!B$2:B$17,MATCH(C51,Familias!A$2:A$17,0))</f>
        <v>Abarrotes y mercado</v>
      </c>
      <c r="E51" s="7" t="s">
        <v>451</v>
      </c>
      <c r="F51" s="7" t="s">
        <v>452</v>
      </c>
      <c r="G51" s="7" t="s">
        <v>135</v>
      </c>
      <c r="H51" s="7" t="s">
        <v>453</v>
      </c>
      <c r="I51" s="7"/>
    </row>
    <row r="52" customFormat="false" ht="15" hidden="false" customHeight="false" outlineLevel="0" collapsed="false">
      <c r="A52" s="7" t="s">
        <v>454</v>
      </c>
      <c r="B52" s="7" t="s">
        <v>455</v>
      </c>
      <c r="C52" s="7" t="s">
        <v>143</v>
      </c>
      <c r="D52" s="7" t="str">
        <f aca="false">INDEX(Familias!B$2:B$17,MATCH(C52,Familias!A$2:A$17,0))</f>
        <v>Abarrotes y mercado</v>
      </c>
      <c r="E52" s="7" t="s">
        <v>456</v>
      </c>
      <c r="F52" s="7" t="s">
        <v>457</v>
      </c>
      <c r="G52" s="7" t="s">
        <v>135</v>
      </c>
      <c r="H52" s="7" t="s">
        <v>453</v>
      </c>
      <c r="I52" s="7"/>
    </row>
    <row r="53" customFormat="false" ht="15" hidden="false" customHeight="false" outlineLevel="0" collapsed="false">
      <c r="A53" s="7" t="s">
        <v>458</v>
      </c>
      <c r="B53" s="7" t="s">
        <v>459</v>
      </c>
      <c r="C53" s="7" t="s">
        <v>143</v>
      </c>
      <c r="D53" s="7" t="str">
        <f aca="false">INDEX(Familias!B$2:B$17,MATCH(C53,Familias!A$2:A$17,0))</f>
        <v>Abarrotes y mercado</v>
      </c>
      <c r="E53" s="7" t="s">
        <v>460</v>
      </c>
      <c r="F53" s="7" t="s">
        <v>461</v>
      </c>
      <c r="G53" s="7" t="s">
        <v>135</v>
      </c>
      <c r="H53" s="7" t="s">
        <v>453</v>
      </c>
      <c r="I53" s="7"/>
    </row>
    <row r="54" customFormat="false" ht="15" hidden="false" customHeight="false" outlineLevel="0" collapsed="false">
      <c r="A54" s="7" t="s">
        <v>462</v>
      </c>
      <c r="B54" s="7" t="s">
        <v>463</v>
      </c>
      <c r="C54" s="7" t="s">
        <v>143</v>
      </c>
      <c r="D54" s="7" t="str">
        <f aca="false">INDEX(Familias!B$2:B$17,MATCH(C54,Familias!A$2:A$17,0))</f>
        <v>Abarrotes y mercado</v>
      </c>
      <c r="E54" s="7" t="s">
        <v>464</v>
      </c>
      <c r="F54" s="7" t="s">
        <v>465</v>
      </c>
      <c r="G54" s="7" t="s">
        <v>135</v>
      </c>
      <c r="H54" s="7" t="s">
        <v>405</v>
      </c>
      <c r="I54" s="7"/>
    </row>
    <row r="55" customFormat="false" ht="15" hidden="false" customHeight="false" outlineLevel="0" collapsed="false">
      <c r="A55" s="7" t="s">
        <v>466</v>
      </c>
      <c r="B55" s="7" t="s">
        <v>467</v>
      </c>
      <c r="C55" s="7" t="s">
        <v>143</v>
      </c>
      <c r="D55" s="7" t="str">
        <f aca="false">INDEX(Familias!B$2:B$17,MATCH(C55,Familias!A$2:A$17,0))</f>
        <v>Abarrotes y mercado</v>
      </c>
      <c r="E55" s="7" t="s">
        <v>468</v>
      </c>
      <c r="F55" s="7" t="s">
        <v>469</v>
      </c>
      <c r="G55" s="7" t="s">
        <v>135</v>
      </c>
      <c r="H55" s="7" t="s">
        <v>129</v>
      </c>
      <c r="I55" s="7"/>
    </row>
    <row r="56" customFormat="false" ht="15" hidden="false" customHeight="false" outlineLevel="0" collapsed="false">
      <c r="A56" s="7" t="s">
        <v>470</v>
      </c>
      <c r="B56" s="7" t="s">
        <v>471</v>
      </c>
      <c r="C56" s="7" t="s">
        <v>143</v>
      </c>
      <c r="D56" s="7" t="str">
        <f aca="false">INDEX(Familias!B$2:B$17,MATCH(C56,Familias!A$2:A$17,0))</f>
        <v>Abarrotes y mercado</v>
      </c>
      <c r="E56" s="7" t="s">
        <v>472</v>
      </c>
      <c r="F56" s="7" t="s">
        <v>473</v>
      </c>
      <c r="G56" s="7" t="s">
        <v>135</v>
      </c>
      <c r="H56" s="7" t="s">
        <v>129</v>
      </c>
      <c r="I56" s="7" t="s">
        <v>474</v>
      </c>
    </row>
    <row r="57" customFormat="false" ht="15" hidden="false" customHeight="false" outlineLevel="0" collapsed="false">
      <c r="A57" s="7" t="s">
        <v>475</v>
      </c>
      <c r="B57" s="7" t="s">
        <v>476</v>
      </c>
      <c r="C57" s="7" t="s">
        <v>143</v>
      </c>
      <c r="D57" s="7" t="str">
        <f aca="false">INDEX(Familias!B$2:B$17,MATCH(C57,Familias!A$2:A$17,0))</f>
        <v>Abarrotes y mercado</v>
      </c>
      <c r="E57" s="7" t="s">
        <v>477</v>
      </c>
      <c r="F57" s="7" t="s">
        <v>478</v>
      </c>
      <c r="G57" s="7" t="s">
        <v>135</v>
      </c>
      <c r="H57" s="7" t="s">
        <v>129</v>
      </c>
      <c r="I57" s="7"/>
    </row>
    <row r="58" customFormat="false" ht="15" hidden="false" customHeight="false" outlineLevel="0" collapsed="false">
      <c r="A58" s="7" t="s">
        <v>479</v>
      </c>
      <c r="B58" s="7" t="s">
        <v>480</v>
      </c>
      <c r="C58" s="7" t="s">
        <v>143</v>
      </c>
      <c r="D58" s="7" t="str">
        <f aca="false">INDEX(Familias!B$2:B$17,MATCH(C58,Familias!A$2:A$17,0))</f>
        <v>Abarrotes y mercado</v>
      </c>
      <c r="E58" s="7" t="s">
        <v>481</v>
      </c>
      <c r="F58" s="7" t="s">
        <v>482</v>
      </c>
      <c r="G58" s="7" t="s">
        <v>135</v>
      </c>
      <c r="H58" s="7" t="s">
        <v>483</v>
      </c>
      <c r="I58" s="7"/>
    </row>
    <row r="59" customFormat="false" ht="15" hidden="false" customHeight="false" outlineLevel="0" collapsed="false">
      <c r="A59" s="7" t="s">
        <v>484</v>
      </c>
      <c r="B59" s="7" t="s">
        <v>485</v>
      </c>
      <c r="C59" s="7" t="s">
        <v>143</v>
      </c>
      <c r="D59" s="7" t="str">
        <f aca="false">INDEX(Familias!B$2:B$17,MATCH(C59,Familias!A$2:A$17,0))</f>
        <v>Abarrotes y mercado</v>
      </c>
      <c r="E59" s="7" t="s">
        <v>486</v>
      </c>
      <c r="F59" s="7" t="s">
        <v>487</v>
      </c>
      <c r="G59" s="7" t="s">
        <v>135</v>
      </c>
      <c r="H59" s="7" t="s">
        <v>405</v>
      </c>
      <c r="I59" s="7"/>
    </row>
    <row r="60" customFormat="false" ht="15" hidden="false" customHeight="false" outlineLevel="0" collapsed="false">
      <c r="A60" s="7" t="s">
        <v>488</v>
      </c>
      <c r="B60" s="7" t="s">
        <v>489</v>
      </c>
      <c r="C60" s="7" t="s">
        <v>143</v>
      </c>
      <c r="D60" s="7" t="str">
        <f aca="false">INDEX(Familias!B$2:B$17,MATCH(C60,Familias!A$2:A$17,0))</f>
        <v>Abarrotes y mercado</v>
      </c>
      <c r="E60" s="7" t="s">
        <v>490</v>
      </c>
      <c r="F60" s="7" t="s">
        <v>491</v>
      </c>
      <c r="G60" s="7" t="s">
        <v>135</v>
      </c>
      <c r="H60" s="7" t="s">
        <v>195</v>
      </c>
      <c r="I60" s="7"/>
    </row>
    <row r="61" customFormat="false" ht="15" hidden="false" customHeight="false" outlineLevel="0" collapsed="false">
      <c r="A61" s="7" t="s">
        <v>492</v>
      </c>
      <c r="B61" s="7" t="s">
        <v>493</v>
      </c>
      <c r="C61" s="7" t="s">
        <v>143</v>
      </c>
      <c r="D61" s="7" t="str">
        <f aca="false">INDEX(Familias!B$2:B$17,MATCH(C61,Familias!A$2:A$17,0))</f>
        <v>Abarrotes y mercado</v>
      </c>
      <c r="E61" s="7" t="s">
        <v>494</v>
      </c>
      <c r="F61" s="7" t="s">
        <v>495</v>
      </c>
      <c r="G61" s="7" t="s">
        <v>135</v>
      </c>
      <c r="H61" s="7" t="s">
        <v>405</v>
      </c>
      <c r="I61" s="7"/>
    </row>
    <row r="62" customFormat="false" ht="15" hidden="false" customHeight="false" outlineLevel="0" collapsed="false">
      <c r="A62" s="7" t="s">
        <v>496</v>
      </c>
      <c r="B62" s="7" t="s">
        <v>497</v>
      </c>
      <c r="C62" s="7" t="s">
        <v>148</v>
      </c>
      <c r="D62" s="7" t="str">
        <f aca="false">INDEX(Familias!B$2:B$17,MATCH(C62,Familias!A$2:A$17,0))</f>
        <v>Moda y retail con variantes</v>
      </c>
      <c r="E62" s="7" t="s">
        <v>498</v>
      </c>
      <c r="F62" s="7" t="s">
        <v>499</v>
      </c>
      <c r="G62" s="7" t="s">
        <v>135</v>
      </c>
      <c r="H62" s="7" t="s">
        <v>129</v>
      </c>
      <c r="I62" s="7"/>
    </row>
    <row r="63" customFormat="false" ht="15" hidden="false" customHeight="false" outlineLevel="0" collapsed="false">
      <c r="A63" s="7" t="s">
        <v>500</v>
      </c>
      <c r="B63" s="7" t="s">
        <v>501</v>
      </c>
      <c r="C63" s="7" t="s">
        <v>148</v>
      </c>
      <c r="D63" s="7" t="str">
        <f aca="false">INDEX(Familias!B$2:B$17,MATCH(C63,Familias!A$2:A$17,0))</f>
        <v>Moda y retail con variantes</v>
      </c>
      <c r="E63" s="7" t="s">
        <v>502</v>
      </c>
      <c r="F63" s="7" t="s">
        <v>503</v>
      </c>
      <c r="G63" s="7" t="s">
        <v>135</v>
      </c>
      <c r="H63" s="7" t="s">
        <v>129</v>
      </c>
      <c r="I63" s="7"/>
    </row>
    <row r="64" customFormat="false" ht="15" hidden="false" customHeight="false" outlineLevel="0" collapsed="false">
      <c r="A64" s="7" t="s">
        <v>504</v>
      </c>
      <c r="B64" s="7" t="s">
        <v>505</v>
      </c>
      <c r="C64" s="7" t="s">
        <v>148</v>
      </c>
      <c r="D64" s="7" t="str">
        <f aca="false">INDEX(Familias!B$2:B$17,MATCH(C64,Familias!A$2:A$17,0))</f>
        <v>Moda y retail con variantes</v>
      </c>
      <c r="E64" s="7" t="s">
        <v>506</v>
      </c>
      <c r="F64" s="7" t="s">
        <v>507</v>
      </c>
      <c r="G64" s="7" t="s">
        <v>135</v>
      </c>
      <c r="H64" s="7" t="s">
        <v>129</v>
      </c>
      <c r="I64" s="7"/>
    </row>
    <row r="65" customFormat="false" ht="15" hidden="false" customHeight="false" outlineLevel="0" collapsed="false">
      <c r="A65" s="7" t="s">
        <v>508</v>
      </c>
      <c r="B65" s="7" t="s">
        <v>509</v>
      </c>
      <c r="C65" s="7" t="s">
        <v>148</v>
      </c>
      <c r="D65" s="7" t="str">
        <f aca="false">INDEX(Familias!B$2:B$17,MATCH(C65,Familias!A$2:A$17,0))</f>
        <v>Moda y retail con variantes</v>
      </c>
      <c r="E65" s="7" t="s">
        <v>510</v>
      </c>
      <c r="F65" s="7" t="s">
        <v>511</v>
      </c>
      <c r="G65" s="7" t="s">
        <v>135</v>
      </c>
      <c r="H65" s="7" t="s">
        <v>129</v>
      </c>
      <c r="I65" s="7"/>
    </row>
    <row r="66" customFormat="false" ht="15" hidden="false" customHeight="false" outlineLevel="0" collapsed="false">
      <c r="A66" s="7" t="s">
        <v>512</v>
      </c>
      <c r="B66" s="7" t="s">
        <v>513</v>
      </c>
      <c r="C66" s="7" t="s">
        <v>148</v>
      </c>
      <c r="D66" s="7" t="str">
        <f aca="false">INDEX(Familias!B$2:B$17,MATCH(C66,Familias!A$2:A$17,0))</f>
        <v>Moda y retail con variantes</v>
      </c>
      <c r="E66" s="7" t="s">
        <v>514</v>
      </c>
      <c r="F66" s="7" t="s">
        <v>515</v>
      </c>
      <c r="G66" s="7" t="s">
        <v>135</v>
      </c>
      <c r="H66" s="7" t="s">
        <v>129</v>
      </c>
      <c r="I66" s="7"/>
    </row>
    <row r="67" customFormat="false" ht="15" hidden="false" customHeight="false" outlineLevel="0" collapsed="false">
      <c r="A67" s="7" t="s">
        <v>516</v>
      </c>
      <c r="B67" s="7" t="s">
        <v>517</v>
      </c>
      <c r="C67" s="7" t="s">
        <v>148</v>
      </c>
      <c r="D67" s="7" t="str">
        <f aca="false">INDEX(Familias!B$2:B$17,MATCH(C67,Familias!A$2:A$17,0))</f>
        <v>Moda y retail con variantes</v>
      </c>
      <c r="E67" s="7" t="s">
        <v>518</v>
      </c>
      <c r="F67" s="7" t="s">
        <v>519</v>
      </c>
      <c r="G67" s="7" t="s">
        <v>135</v>
      </c>
      <c r="H67" s="7" t="s">
        <v>129</v>
      </c>
      <c r="I67" s="7" t="s">
        <v>520</v>
      </c>
    </row>
    <row r="68" customFormat="false" ht="15" hidden="false" customHeight="false" outlineLevel="0" collapsed="false">
      <c r="A68" s="7" t="s">
        <v>521</v>
      </c>
      <c r="B68" s="7" t="s">
        <v>522</v>
      </c>
      <c r="C68" s="7" t="s">
        <v>148</v>
      </c>
      <c r="D68" s="7" t="str">
        <f aca="false">INDEX(Familias!B$2:B$17,MATCH(C68,Familias!A$2:A$17,0))</f>
        <v>Moda y retail con variantes</v>
      </c>
      <c r="E68" s="7" t="s">
        <v>523</v>
      </c>
      <c r="F68" s="7" t="s">
        <v>524</v>
      </c>
      <c r="G68" s="7" t="s">
        <v>135</v>
      </c>
      <c r="H68" s="7" t="s">
        <v>129</v>
      </c>
      <c r="I68" s="7" t="s">
        <v>525</v>
      </c>
    </row>
    <row r="69" customFormat="false" ht="15" hidden="false" customHeight="false" outlineLevel="0" collapsed="false">
      <c r="A69" s="7" t="s">
        <v>526</v>
      </c>
      <c r="B69" s="7" t="s">
        <v>527</v>
      </c>
      <c r="C69" s="7" t="s">
        <v>148</v>
      </c>
      <c r="D69" s="7" t="str">
        <f aca="false">INDEX(Familias!B$2:B$17,MATCH(C69,Familias!A$2:A$17,0))</f>
        <v>Moda y retail con variantes</v>
      </c>
      <c r="E69" s="7" t="s">
        <v>528</v>
      </c>
      <c r="F69" s="7" t="s">
        <v>529</v>
      </c>
      <c r="G69" s="7" t="s">
        <v>135</v>
      </c>
      <c r="H69" s="7" t="s">
        <v>129</v>
      </c>
      <c r="I69" s="7"/>
    </row>
    <row r="70" customFormat="false" ht="15" hidden="false" customHeight="false" outlineLevel="0" collapsed="false">
      <c r="A70" s="7" t="s">
        <v>530</v>
      </c>
      <c r="B70" s="7" t="s">
        <v>531</v>
      </c>
      <c r="C70" s="7" t="s">
        <v>148</v>
      </c>
      <c r="D70" s="7" t="str">
        <f aca="false">INDEX(Familias!B$2:B$17,MATCH(C70,Familias!A$2:A$17,0))</f>
        <v>Moda y retail con variantes</v>
      </c>
      <c r="E70" s="7" t="s">
        <v>532</v>
      </c>
      <c r="F70" s="7" t="s">
        <v>533</v>
      </c>
      <c r="G70" s="7" t="s">
        <v>135</v>
      </c>
      <c r="H70" s="7" t="s">
        <v>129</v>
      </c>
      <c r="I70" s="7" t="s">
        <v>534</v>
      </c>
    </row>
    <row r="71" customFormat="false" ht="15" hidden="false" customHeight="false" outlineLevel="0" collapsed="false">
      <c r="A71" s="7" t="s">
        <v>535</v>
      </c>
      <c r="B71" s="7" t="s">
        <v>536</v>
      </c>
      <c r="C71" s="7" t="s">
        <v>148</v>
      </c>
      <c r="D71" s="7" t="str">
        <f aca="false">INDEX(Familias!B$2:B$17,MATCH(C71,Familias!A$2:A$17,0))</f>
        <v>Moda y retail con variantes</v>
      </c>
      <c r="E71" s="7" t="s">
        <v>537</v>
      </c>
      <c r="F71" s="7" t="s">
        <v>538</v>
      </c>
      <c r="G71" s="7" t="s">
        <v>135</v>
      </c>
      <c r="H71" s="7" t="s">
        <v>129</v>
      </c>
      <c r="I71" s="7"/>
    </row>
    <row r="72" customFormat="false" ht="15" hidden="false" customHeight="false" outlineLevel="0" collapsed="false">
      <c r="A72" s="7" t="s">
        <v>539</v>
      </c>
      <c r="B72" s="7" t="s">
        <v>540</v>
      </c>
      <c r="C72" s="7" t="s">
        <v>148</v>
      </c>
      <c r="D72" s="7" t="str">
        <f aca="false">INDEX(Familias!B$2:B$17,MATCH(C72,Familias!A$2:A$17,0))</f>
        <v>Moda y retail con variantes</v>
      </c>
      <c r="E72" s="7" t="s">
        <v>541</v>
      </c>
      <c r="F72" s="7" t="s">
        <v>542</v>
      </c>
      <c r="G72" s="7" t="s">
        <v>135</v>
      </c>
      <c r="H72" s="7" t="s">
        <v>129</v>
      </c>
      <c r="I72" s="7"/>
    </row>
    <row r="73" customFormat="false" ht="15" hidden="false" customHeight="false" outlineLevel="0" collapsed="false">
      <c r="A73" s="7" t="s">
        <v>543</v>
      </c>
      <c r="B73" s="7" t="s">
        <v>544</v>
      </c>
      <c r="C73" s="7" t="s">
        <v>148</v>
      </c>
      <c r="D73" s="7" t="str">
        <f aca="false">INDEX(Familias!B$2:B$17,MATCH(C73,Familias!A$2:A$17,0))</f>
        <v>Moda y retail con variantes</v>
      </c>
      <c r="E73" s="7" t="s">
        <v>545</v>
      </c>
      <c r="F73" s="7" t="s">
        <v>546</v>
      </c>
      <c r="G73" s="7" t="s">
        <v>135</v>
      </c>
      <c r="H73" s="7" t="s">
        <v>129</v>
      </c>
      <c r="I73" s="7"/>
    </row>
    <row r="74" customFormat="false" ht="15" hidden="false" customHeight="false" outlineLevel="0" collapsed="false">
      <c r="A74" s="7" t="s">
        <v>547</v>
      </c>
      <c r="B74" s="7" t="s">
        <v>548</v>
      </c>
      <c r="C74" s="7" t="s">
        <v>153</v>
      </c>
      <c r="D74" s="7" t="str">
        <f aca="false">INDEX(Familias!B$2:B$17,MATCH(C74,Familias!A$2:A$17,0))</f>
        <v>Retail general</v>
      </c>
      <c r="E74" s="7" t="s">
        <v>549</v>
      </c>
      <c r="F74" s="7" t="s">
        <v>550</v>
      </c>
      <c r="G74" s="7" t="s">
        <v>135</v>
      </c>
      <c r="H74" s="7" t="s">
        <v>129</v>
      </c>
      <c r="I74" s="7"/>
    </row>
    <row r="75" customFormat="false" ht="15" hidden="false" customHeight="false" outlineLevel="0" collapsed="false">
      <c r="A75" s="7" t="s">
        <v>551</v>
      </c>
      <c r="B75" s="7" t="s">
        <v>552</v>
      </c>
      <c r="C75" s="7" t="s">
        <v>153</v>
      </c>
      <c r="D75" s="7" t="str">
        <f aca="false">INDEX(Familias!B$2:B$17,MATCH(C75,Familias!A$2:A$17,0))</f>
        <v>Retail general</v>
      </c>
      <c r="E75" s="7" t="s">
        <v>553</v>
      </c>
      <c r="F75" s="7" t="s">
        <v>554</v>
      </c>
      <c r="G75" s="7" t="s">
        <v>135</v>
      </c>
      <c r="H75" s="7" t="s">
        <v>129</v>
      </c>
      <c r="I75" s="7"/>
    </row>
    <row r="76" customFormat="false" ht="15" hidden="false" customHeight="false" outlineLevel="0" collapsed="false">
      <c r="A76" s="7" t="s">
        <v>555</v>
      </c>
      <c r="B76" s="7" t="s">
        <v>556</v>
      </c>
      <c r="C76" s="7" t="s">
        <v>153</v>
      </c>
      <c r="D76" s="7" t="str">
        <f aca="false">INDEX(Familias!B$2:B$17,MATCH(C76,Familias!A$2:A$17,0))</f>
        <v>Retail general</v>
      </c>
      <c r="E76" s="7" t="s">
        <v>557</v>
      </c>
      <c r="F76" s="7" t="s">
        <v>558</v>
      </c>
      <c r="G76" s="7" t="s">
        <v>135</v>
      </c>
      <c r="H76" s="7" t="s">
        <v>129</v>
      </c>
      <c r="I76" s="7"/>
    </row>
    <row r="77" customFormat="false" ht="15" hidden="false" customHeight="false" outlineLevel="0" collapsed="false">
      <c r="A77" s="7" t="s">
        <v>559</v>
      </c>
      <c r="B77" s="7" t="s">
        <v>560</v>
      </c>
      <c r="C77" s="7" t="s">
        <v>153</v>
      </c>
      <c r="D77" s="7" t="str">
        <f aca="false">INDEX(Familias!B$2:B$17,MATCH(C77,Familias!A$2:A$17,0))</f>
        <v>Retail general</v>
      </c>
      <c r="E77" s="7" t="s">
        <v>561</v>
      </c>
      <c r="F77" s="7" t="s">
        <v>562</v>
      </c>
      <c r="G77" s="7" t="s">
        <v>135</v>
      </c>
      <c r="H77" s="7" t="s">
        <v>129</v>
      </c>
      <c r="I77" s="7"/>
    </row>
    <row r="78" customFormat="false" ht="15" hidden="false" customHeight="false" outlineLevel="0" collapsed="false">
      <c r="A78" s="7" t="s">
        <v>563</v>
      </c>
      <c r="B78" s="7" t="s">
        <v>564</v>
      </c>
      <c r="C78" s="7" t="s">
        <v>153</v>
      </c>
      <c r="D78" s="7" t="str">
        <f aca="false">INDEX(Familias!B$2:B$17,MATCH(C78,Familias!A$2:A$17,0))</f>
        <v>Retail general</v>
      </c>
      <c r="E78" s="7" t="s">
        <v>565</v>
      </c>
      <c r="F78" s="7" t="s">
        <v>566</v>
      </c>
      <c r="G78" s="7" t="s">
        <v>135</v>
      </c>
      <c r="H78" s="7" t="s">
        <v>129</v>
      </c>
      <c r="I78" s="7"/>
    </row>
    <row r="79" customFormat="false" ht="15" hidden="false" customHeight="false" outlineLevel="0" collapsed="false">
      <c r="A79" s="7" t="s">
        <v>567</v>
      </c>
      <c r="B79" s="7" t="s">
        <v>568</v>
      </c>
      <c r="C79" s="7" t="s">
        <v>153</v>
      </c>
      <c r="D79" s="7" t="str">
        <f aca="false">INDEX(Familias!B$2:B$17,MATCH(C79,Familias!A$2:A$17,0))</f>
        <v>Retail general</v>
      </c>
      <c r="E79" s="7" t="s">
        <v>569</v>
      </c>
      <c r="F79" s="7" t="s">
        <v>570</v>
      </c>
      <c r="G79" s="7" t="s">
        <v>135</v>
      </c>
      <c r="H79" s="7" t="s">
        <v>129</v>
      </c>
      <c r="I79" s="7"/>
    </row>
    <row r="80" customFormat="false" ht="15" hidden="false" customHeight="false" outlineLevel="0" collapsed="false">
      <c r="A80" s="7" t="s">
        <v>571</v>
      </c>
      <c r="B80" s="7" t="s">
        <v>572</v>
      </c>
      <c r="C80" s="7" t="s">
        <v>153</v>
      </c>
      <c r="D80" s="7" t="str">
        <f aca="false">INDEX(Familias!B$2:B$17,MATCH(C80,Familias!A$2:A$17,0))</f>
        <v>Retail general</v>
      </c>
      <c r="E80" s="7" t="s">
        <v>573</v>
      </c>
      <c r="F80" s="7" t="s">
        <v>574</v>
      </c>
      <c r="G80" s="7" t="s">
        <v>135</v>
      </c>
      <c r="H80" s="7" t="s">
        <v>129</v>
      </c>
      <c r="I80" s="7"/>
    </row>
    <row r="81" customFormat="false" ht="15" hidden="false" customHeight="false" outlineLevel="0" collapsed="false">
      <c r="A81" s="7" t="s">
        <v>575</v>
      </c>
      <c r="B81" s="7" t="s">
        <v>576</v>
      </c>
      <c r="C81" s="7" t="s">
        <v>153</v>
      </c>
      <c r="D81" s="7" t="str">
        <f aca="false">INDEX(Familias!B$2:B$17,MATCH(C81,Familias!A$2:A$17,0))</f>
        <v>Retail general</v>
      </c>
      <c r="E81" s="7" t="s">
        <v>577</v>
      </c>
      <c r="F81" s="7" t="s">
        <v>578</v>
      </c>
      <c r="G81" s="7" t="s">
        <v>135</v>
      </c>
      <c r="H81" s="7" t="s">
        <v>129</v>
      </c>
      <c r="I81" s="7"/>
    </row>
    <row r="82" customFormat="false" ht="15" hidden="false" customHeight="false" outlineLevel="0" collapsed="false">
      <c r="A82" s="7" t="s">
        <v>579</v>
      </c>
      <c r="B82" s="7" t="s">
        <v>580</v>
      </c>
      <c r="C82" s="7" t="s">
        <v>153</v>
      </c>
      <c r="D82" s="7" t="str">
        <f aca="false">INDEX(Familias!B$2:B$17,MATCH(C82,Familias!A$2:A$17,0))</f>
        <v>Retail general</v>
      </c>
      <c r="E82" s="7" t="s">
        <v>581</v>
      </c>
      <c r="F82" s="7" t="s">
        <v>582</v>
      </c>
      <c r="G82" s="7" t="s">
        <v>135</v>
      </c>
      <c r="H82" s="7" t="s">
        <v>583</v>
      </c>
      <c r="I82" s="7"/>
    </row>
    <row r="83" customFormat="false" ht="15" hidden="false" customHeight="false" outlineLevel="0" collapsed="false">
      <c r="A83" s="7" t="s">
        <v>584</v>
      </c>
      <c r="B83" s="7" t="s">
        <v>585</v>
      </c>
      <c r="C83" s="7" t="s">
        <v>153</v>
      </c>
      <c r="D83" s="7" t="str">
        <f aca="false">INDEX(Familias!B$2:B$17,MATCH(C83,Familias!A$2:A$17,0))</f>
        <v>Retail general</v>
      </c>
      <c r="E83" s="7" t="s">
        <v>586</v>
      </c>
      <c r="F83" s="7" t="s">
        <v>587</v>
      </c>
      <c r="G83" s="7" t="s">
        <v>135</v>
      </c>
      <c r="H83" s="7" t="s">
        <v>129</v>
      </c>
      <c r="I83" s="7" t="s">
        <v>588</v>
      </c>
    </row>
    <row r="84" customFormat="false" ht="15" hidden="false" customHeight="false" outlineLevel="0" collapsed="false">
      <c r="A84" s="7" t="s">
        <v>589</v>
      </c>
      <c r="B84" s="7" t="s">
        <v>590</v>
      </c>
      <c r="C84" s="7" t="s">
        <v>153</v>
      </c>
      <c r="D84" s="7" t="str">
        <f aca="false">INDEX(Familias!B$2:B$17,MATCH(C84,Familias!A$2:A$17,0))</f>
        <v>Retail general</v>
      </c>
      <c r="E84" s="7" t="s">
        <v>591</v>
      </c>
      <c r="F84" s="7" t="s">
        <v>592</v>
      </c>
      <c r="G84" s="7" t="s">
        <v>135</v>
      </c>
      <c r="H84" s="7" t="s">
        <v>129</v>
      </c>
      <c r="I84" s="7"/>
    </row>
    <row r="85" customFormat="false" ht="15" hidden="false" customHeight="false" outlineLevel="0" collapsed="false">
      <c r="A85" s="7" t="s">
        <v>593</v>
      </c>
      <c r="B85" s="7" t="s">
        <v>594</v>
      </c>
      <c r="C85" s="7" t="s">
        <v>153</v>
      </c>
      <c r="D85" s="7" t="str">
        <f aca="false">INDEX(Familias!B$2:B$17,MATCH(C85,Familias!A$2:A$17,0))</f>
        <v>Retail general</v>
      </c>
      <c r="E85" s="7" t="s">
        <v>595</v>
      </c>
      <c r="F85" s="7" t="s">
        <v>596</v>
      </c>
      <c r="G85" s="7" t="s">
        <v>135</v>
      </c>
      <c r="H85" s="7" t="s">
        <v>129</v>
      </c>
      <c r="I85" s="7"/>
    </row>
    <row r="86" customFormat="false" ht="15" hidden="false" customHeight="false" outlineLevel="0" collapsed="false">
      <c r="A86" s="7" t="s">
        <v>597</v>
      </c>
      <c r="B86" s="7" t="s">
        <v>598</v>
      </c>
      <c r="C86" s="7" t="s">
        <v>153</v>
      </c>
      <c r="D86" s="7" t="str">
        <f aca="false">INDEX(Familias!B$2:B$17,MATCH(C86,Familias!A$2:A$17,0))</f>
        <v>Retail general</v>
      </c>
      <c r="E86" s="7" t="s">
        <v>506</v>
      </c>
      <c r="F86" s="7" t="s">
        <v>599</v>
      </c>
      <c r="G86" s="7" t="s">
        <v>135</v>
      </c>
      <c r="H86" s="7" t="s">
        <v>129</v>
      </c>
      <c r="I86" s="7"/>
    </row>
    <row r="87" customFormat="false" ht="15" hidden="false" customHeight="false" outlineLevel="0" collapsed="false">
      <c r="A87" s="7" t="s">
        <v>600</v>
      </c>
      <c r="B87" s="7" t="s">
        <v>601</v>
      </c>
      <c r="C87" s="7" t="s">
        <v>153</v>
      </c>
      <c r="D87" s="7" t="str">
        <f aca="false">INDEX(Familias!B$2:B$17,MATCH(C87,Familias!A$2:A$17,0))</f>
        <v>Retail general</v>
      </c>
      <c r="E87" s="7" t="s">
        <v>602</v>
      </c>
      <c r="F87" s="7" t="s">
        <v>603</v>
      </c>
      <c r="G87" s="7" t="s">
        <v>135</v>
      </c>
      <c r="H87" s="7" t="s">
        <v>129</v>
      </c>
      <c r="I87" s="7" t="s">
        <v>604</v>
      </c>
    </row>
    <row r="88" customFormat="false" ht="15" hidden="false" customHeight="false" outlineLevel="0" collapsed="false">
      <c r="A88" s="7" t="s">
        <v>605</v>
      </c>
      <c r="B88" s="7" t="s">
        <v>606</v>
      </c>
      <c r="C88" s="7" t="s">
        <v>153</v>
      </c>
      <c r="D88" s="7" t="str">
        <f aca="false">INDEX(Familias!B$2:B$17,MATCH(C88,Familias!A$2:A$17,0))</f>
        <v>Retail general</v>
      </c>
      <c r="E88" s="7" t="s">
        <v>607</v>
      </c>
      <c r="F88" s="7" t="s">
        <v>608</v>
      </c>
      <c r="G88" s="7" t="s">
        <v>135</v>
      </c>
      <c r="H88" s="7" t="s">
        <v>129</v>
      </c>
      <c r="I88" s="7"/>
    </row>
    <row r="89" customFormat="false" ht="15" hidden="false" customHeight="false" outlineLevel="0" collapsed="false">
      <c r="A89" s="7" t="s">
        <v>609</v>
      </c>
      <c r="B89" s="7" t="s">
        <v>610</v>
      </c>
      <c r="C89" s="7" t="s">
        <v>153</v>
      </c>
      <c r="D89" s="7" t="str">
        <f aca="false">INDEX(Familias!B$2:B$17,MATCH(C89,Familias!A$2:A$17,0))</f>
        <v>Retail general</v>
      </c>
      <c r="E89" s="7" t="s">
        <v>611</v>
      </c>
      <c r="F89" s="7" t="s">
        <v>612</v>
      </c>
      <c r="G89" s="7" t="s">
        <v>135</v>
      </c>
      <c r="H89" s="7" t="s">
        <v>129</v>
      </c>
      <c r="I89" s="7"/>
    </row>
    <row r="90" customFormat="false" ht="15" hidden="false" customHeight="false" outlineLevel="0" collapsed="false">
      <c r="A90" s="7" t="s">
        <v>613</v>
      </c>
      <c r="B90" s="7" t="s">
        <v>614</v>
      </c>
      <c r="C90" s="7" t="s">
        <v>153</v>
      </c>
      <c r="D90" s="7" t="str">
        <f aca="false">INDEX(Familias!B$2:B$17,MATCH(C90,Familias!A$2:A$17,0))</f>
        <v>Retail general</v>
      </c>
      <c r="E90" s="7" t="s">
        <v>615</v>
      </c>
      <c r="F90" s="7" t="s">
        <v>616</v>
      </c>
      <c r="G90" s="7" t="s">
        <v>135</v>
      </c>
      <c r="H90" s="7" t="s">
        <v>129</v>
      </c>
      <c r="I90" s="7"/>
    </row>
    <row r="91" customFormat="false" ht="15" hidden="false" customHeight="false" outlineLevel="0" collapsed="false">
      <c r="A91" s="7" t="s">
        <v>617</v>
      </c>
      <c r="B91" s="7" t="s">
        <v>618</v>
      </c>
      <c r="C91" s="7" t="s">
        <v>153</v>
      </c>
      <c r="D91" s="7" t="str">
        <f aca="false">INDEX(Familias!B$2:B$17,MATCH(C91,Familias!A$2:A$17,0))</f>
        <v>Retail general</v>
      </c>
      <c r="E91" s="7" t="s">
        <v>619</v>
      </c>
      <c r="F91" s="7" t="s">
        <v>620</v>
      </c>
      <c r="G91" s="7" t="s">
        <v>135</v>
      </c>
      <c r="H91" s="7" t="s">
        <v>129</v>
      </c>
      <c r="I91" s="7"/>
    </row>
    <row r="92" customFormat="false" ht="15" hidden="false" customHeight="false" outlineLevel="0" collapsed="false">
      <c r="A92" s="7" t="s">
        <v>621</v>
      </c>
      <c r="B92" s="7" t="s">
        <v>622</v>
      </c>
      <c r="C92" s="7" t="s">
        <v>153</v>
      </c>
      <c r="D92" s="7" t="str">
        <f aca="false">INDEX(Familias!B$2:B$17,MATCH(C92,Familias!A$2:A$17,0))</f>
        <v>Retail general</v>
      </c>
      <c r="E92" s="7" t="s">
        <v>623</v>
      </c>
      <c r="F92" s="7" t="s">
        <v>624</v>
      </c>
      <c r="G92" s="7" t="s">
        <v>135</v>
      </c>
      <c r="H92" s="7" t="s">
        <v>129</v>
      </c>
      <c r="I92" s="7"/>
    </row>
    <row r="93" customFormat="false" ht="15" hidden="false" customHeight="false" outlineLevel="0" collapsed="false">
      <c r="A93" s="7" t="s">
        <v>625</v>
      </c>
      <c r="B93" s="7" t="s">
        <v>626</v>
      </c>
      <c r="C93" s="7" t="s">
        <v>153</v>
      </c>
      <c r="D93" s="7" t="str">
        <f aca="false">INDEX(Familias!B$2:B$17,MATCH(C93,Familias!A$2:A$17,0))</f>
        <v>Retail general</v>
      </c>
      <c r="E93" s="7" t="s">
        <v>627</v>
      </c>
      <c r="F93" s="7" t="s">
        <v>628</v>
      </c>
      <c r="G93" s="7" t="s">
        <v>135</v>
      </c>
      <c r="H93" s="7" t="s">
        <v>129</v>
      </c>
      <c r="I93" s="7"/>
    </row>
    <row r="94" customFormat="false" ht="23.85" hidden="false" customHeight="false" outlineLevel="0" collapsed="false">
      <c r="A94" s="7" t="s">
        <v>629</v>
      </c>
      <c r="B94" s="7" t="s">
        <v>630</v>
      </c>
      <c r="C94" s="7" t="s">
        <v>158</v>
      </c>
      <c r="D94" s="7" t="str">
        <f aca="false">INDEX(Familias!B$2:B$17,MATCH(C94,Familias!A$2:A$17,0))</f>
        <v>Farmacia y salud con producto</v>
      </c>
      <c r="E94" s="7" t="s">
        <v>631</v>
      </c>
      <c r="F94" s="7" t="s">
        <v>632</v>
      </c>
      <c r="G94" s="7" t="s">
        <v>135</v>
      </c>
      <c r="H94" s="7" t="s">
        <v>129</v>
      </c>
      <c r="I94" s="7" t="s">
        <v>633</v>
      </c>
    </row>
    <row r="95" customFormat="false" ht="15" hidden="false" customHeight="false" outlineLevel="0" collapsed="false">
      <c r="A95" s="7" t="s">
        <v>634</v>
      </c>
      <c r="B95" s="7" t="s">
        <v>635</v>
      </c>
      <c r="C95" s="7" t="s">
        <v>158</v>
      </c>
      <c r="D95" s="7" t="str">
        <f aca="false">INDEX(Familias!B$2:B$17,MATCH(C95,Familias!A$2:A$17,0))</f>
        <v>Farmacia y salud con producto</v>
      </c>
      <c r="E95" s="7" t="s">
        <v>636</v>
      </c>
      <c r="F95" s="7" t="s">
        <v>637</v>
      </c>
      <c r="G95" s="7" t="s">
        <v>135</v>
      </c>
      <c r="H95" s="7" t="s">
        <v>129</v>
      </c>
      <c r="I95" s="7"/>
    </row>
    <row r="96" customFormat="false" ht="15" hidden="false" customHeight="false" outlineLevel="0" collapsed="false">
      <c r="A96" s="7" t="s">
        <v>638</v>
      </c>
      <c r="B96" s="7" t="s">
        <v>639</v>
      </c>
      <c r="C96" s="7" t="s">
        <v>158</v>
      </c>
      <c r="D96" s="7" t="str">
        <f aca="false">INDEX(Familias!B$2:B$17,MATCH(C96,Familias!A$2:A$17,0))</f>
        <v>Farmacia y salud con producto</v>
      </c>
      <c r="E96" s="7" t="s">
        <v>640</v>
      </c>
      <c r="F96" s="7" t="s">
        <v>641</v>
      </c>
      <c r="G96" s="7" t="s">
        <v>135</v>
      </c>
      <c r="H96" s="7" t="s">
        <v>129</v>
      </c>
      <c r="I96" s="7"/>
    </row>
    <row r="97" customFormat="false" ht="15" hidden="false" customHeight="false" outlineLevel="0" collapsed="false">
      <c r="A97" s="7" t="s">
        <v>642</v>
      </c>
      <c r="B97" s="7" t="s">
        <v>643</v>
      </c>
      <c r="C97" s="7" t="s">
        <v>158</v>
      </c>
      <c r="D97" s="7" t="str">
        <f aca="false">INDEX(Familias!B$2:B$17,MATCH(C97,Familias!A$2:A$17,0))</f>
        <v>Farmacia y salud con producto</v>
      </c>
      <c r="E97" s="7" t="s">
        <v>644</v>
      </c>
      <c r="F97" s="7" t="s">
        <v>645</v>
      </c>
      <c r="G97" s="7" t="s">
        <v>135</v>
      </c>
      <c r="H97" s="7" t="s">
        <v>129</v>
      </c>
      <c r="I97" s="7"/>
    </row>
    <row r="98" customFormat="false" ht="15" hidden="false" customHeight="false" outlineLevel="0" collapsed="false">
      <c r="A98" s="7" t="s">
        <v>646</v>
      </c>
      <c r="B98" s="7" t="s">
        <v>647</v>
      </c>
      <c r="C98" s="7" t="s">
        <v>158</v>
      </c>
      <c r="D98" s="7" t="str">
        <f aca="false">INDEX(Familias!B$2:B$17,MATCH(C98,Familias!A$2:A$17,0))</f>
        <v>Farmacia y salud con producto</v>
      </c>
      <c r="E98" s="7" t="s">
        <v>648</v>
      </c>
      <c r="F98" s="7" t="s">
        <v>649</v>
      </c>
      <c r="G98" s="7" t="s">
        <v>135</v>
      </c>
      <c r="H98" s="7" t="s">
        <v>129</v>
      </c>
      <c r="I98" s="7"/>
    </row>
    <row r="99" customFormat="false" ht="15" hidden="false" customHeight="false" outlineLevel="0" collapsed="false">
      <c r="A99" s="7" t="s">
        <v>650</v>
      </c>
      <c r="B99" s="7" t="s">
        <v>651</v>
      </c>
      <c r="C99" s="7" t="s">
        <v>158</v>
      </c>
      <c r="D99" s="7" t="str">
        <f aca="false">INDEX(Familias!B$2:B$17,MATCH(C99,Familias!A$2:A$17,0))</f>
        <v>Farmacia y salud con producto</v>
      </c>
      <c r="E99" s="7" t="s">
        <v>652</v>
      </c>
      <c r="F99" s="7" t="s">
        <v>653</v>
      </c>
      <c r="G99" s="7" t="s">
        <v>135</v>
      </c>
      <c r="H99" s="7" t="s">
        <v>129</v>
      </c>
      <c r="I99" s="7"/>
    </row>
    <row r="100" customFormat="false" ht="15" hidden="false" customHeight="false" outlineLevel="0" collapsed="false">
      <c r="A100" s="7" t="s">
        <v>654</v>
      </c>
      <c r="B100" s="7" t="s">
        <v>655</v>
      </c>
      <c r="C100" s="7" t="s">
        <v>163</v>
      </c>
      <c r="D100" s="7" t="str">
        <f aca="false">INDEX(Familias!B$2:B$17,MATCH(C100,Familias!A$2:A$17,0))</f>
        <v>Tecnología y electrónica</v>
      </c>
      <c r="E100" s="7" t="s">
        <v>656</v>
      </c>
      <c r="F100" s="7" t="s">
        <v>657</v>
      </c>
      <c r="G100" s="7" t="s">
        <v>135</v>
      </c>
      <c r="H100" s="7" t="s">
        <v>129</v>
      </c>
      <c r="I100" s="7" t="s">
        <v>658</v>
      </c>
    </row>
    <row r="101" customFormat="false" ht="15" hidden="false" customHeight="false" outlineLevel="0" collapsed="false">
      <c r="A101" s="7" t="s">
        <v>659</v>
      </c>
      <c r="B101" s="7" t="s">
        <v>660</v>
      </c>
      <c r="C101" s="7" t="s">
        <v>163</v>
      </c>
      <c r="D101" s="7" t="str">
        <f aca="false">INDEX(Familias!B$2:B$17,MATCH(C101,Familias!A$2:A$17,0))</f>
        <v>Tecnología y electrónica</v>
      </c>
      <c r="E101" s="7" t="s">
        <v>661</v>
      </c>
      <c r="F101" s="7" t="s">
        <v>662</v>
      </c>
      <c r="G101" s="7" t="s">
        <v>135</v>
      </c>
      <c r="H101" s="7" t="s">
        <v>129</v>
      </c>
      <c r="I101" s="7"/>
    </row>
    <row r="102" customFormat="false" ht="15" hidden="false" customHeight="false" outlineLevel="0" collapsed="false">
      <c r="A102" s="7" t="s">
        <v>663</v>
      </c>
      <c r="B102" s="7" t="s">
        <v>664</v>
      </c>
      <c r="C102" s="7" t="s">
        <v>163</v>
      </c>
      <c r="D102" s="7" t="str">
        <f aca="false">INDEX(Familias!B$2:B$17,MATCH(C102,Familias!A$2:A$17,0))</f>
        <v>Tecnología y electrónica</v>
      </c>
      <c r="E102" s="7" t="s">
        <v>665</v>
      </c>
      <c r="F102" s="7" t="s">
        <v>666</v>
      </c>
      <c r="G102" s="7" t="s">
        <v>135</v>
      </c>
      <c r="H102" s="7" t="s">
        <v>129</v>
      </c>
      <c r="I102" s="7"/>
    </row>
    <row r="103" customFormat="false" ht="15" hidden="false" customHeight="false" outlineLevel="0" collapsed="false">
      <c r="A103" s="7" t="s">
        <v>667</v>
      </c>
      <c r="B103" s="7" t="s">
        <v>668</v>
      </c>
      <c r="C103" s="7" t="s">
        <v>163</v>
      </c>
      <c r="D103" s="7" t="str">
        <f aca="false">INDEX(Familias!B$2:B$17,MATCH(C103,Familias!A$2:A$17,0))</f>
        <v>Tecnología y electrónica</v>
      </c>
      <c r="E103" s="7" t="s">
        <v>669</v>
      </c>
      <c r="F103" s="7" t="s">
        <v>670</v>
      </c>
      <c r="G103" s="7" t="s">
        <v>135</v>
      </c>
      <c r="H103" s="7" t="s">
        <v>129</v>
      </c>
      <c r="I103" s="7" t="s">
        <v>604</v>
      </c>
    </row>
    <row r="104" customFormat="false" ht="15" hidden="false" customHeight="false" outlineLevel="0" collapsed="false">
      <c r="A104" s="7" t="s">
        <v>671</v>
      </c>
      <c r="B104" s="7" t="s">
        <v>672</v>
      </c>
      <c r="C104" s="7" t="s">
        <v>163</v>
      </c>
      <c r="D104" s="7" t="str">
        <f aca="false">INDEX(Familias!B$2:B$17,MATCH(C104,Familias!A$2:A$17,0))</f>
        <v>Tecnología y electrónica</v>
      </c>
      <c r="E104" s="7" t="s">
        <v>673</v>
      </c>
      <c r="F104" s="7" t="s">
        <v>674</v>
      </c>
      <c r="G104" s="7" t="s">
        <v>135</v>
      </c>
      <c r="H104" s="7" t="s">
        <v>129</v>
      </c>
      <c r="I104" s="7"/>
    </row>
    <row r="105" customFormat="false" ht="15" hidden="false" customHeight="false" outlineLevel="0" collapsed="false">
      <c r="A105" s="7" t="s">
        <v>675</v>
      </c>
      <c r="B105" s="7" t="s">
        <v>676</v>
      </c>
      <c r="C105" s="7" t="s">
        <v>163</v>
      </c>
      <c r="D105" s="7" t="str">
        <f aca="false">INDEX(Familias!B$2:B$17,MATCH(C105,Familias!A$2:A$17,0))</f>
        <v>Tecnología y electrónica</v>
      </c>
      <c r="E105" s="7" t="s">
        <v>677</v>
      </c>
      <c r="F105" s="7" t="s">
        <v>678</v>
      </c>
      <c r="G105" s="7" t="s">
        <v>135</v>
      </c>
      <c r="H105" s="7" t="s">
        <v>129</v>
      </c>
      <c r="I105" s="7"/>
    </row>
    <row r="106" customFormat="false" ht="15" hidden="false" customHeight="false" outlineLevel="0" collapsed="false">
      <c r="A106" s="7" t="s">
        <v>679</v>
      </c>
      <c r="B106" s="7" t="s">
        <v>680</v>
      </c>
      <c r="C106" s="7" t="s">
        <v>163</v>
      </c>
      <c r="D106" s="7" t="str">
        <f aca="false">INDEX(Familias!B$2:B$17,MATCH(C106,Familias!A$2:A$17,0))</f>
        <v>Tecnología y electrónica</v>
      </c>
      <c r="E106" s="7" t="s">
        <v>681</v>
      </c>
      <c r="F106" s="7" t="s">
        <v>682</v>
      </c>
      <c r="G106" s="7" t="s">
        <v>135</v>
      </c>
      <c r="H106" s="7" t="s">
        <v>129</v>
      </c>
      <c r="I106" s="7" t="s">
        <v>683</v>
      </c>
    </row>
    <row r="107" customFormat="false" ht="15" hidden="false" customHeight="false" outlineLevel="0" collapsed="false">
      <c r="A107" s="7" t="s">
        <v>684</v>
      </c>
      <c r="B107" s="7" t="s">
        <v>685</v>
      </c>
      <c r="C107" s="7" t="s">
        <v>163</v>
      </c>
      <c r="D107" s="7" t="str">
        <f aca="false">INDEX(Familias!B$2:B$17,MATCH(C107,Familias!A$2:A$17,0))</f>
        <v>Tecnología y electrónica</v>
      </c>
      <c r="E107" s="7" t="s">
        <v>686</v>
      </c>
      <c r="F107" s="7" t="s">
        <v>687</v>
      </c>
      <c r="G107" s="7" t="s">
        <v>135</v>
      </c>
      <c r="H107" s="7" t="s">
        <v>129</v>
      </c>
      <c r="I107" s="7" t="s">
        <v>688</v>
      </c>
    </row>
    <row r="108" customFormat="false" ht="15" hidden="false" customHeight="false" outlineLevel="0" collapsed="false">
      <c r="A108" s="7" t="s">
        <v>689</v>
      </c>
      <c r="B108" s="7" t="s">
        <v>690</v>
      </c>
      <c r="C108" s="7" t="s">
        <v>163</v>
      </c>
      <c r="D108" s="7" t="str">
        <f aca="false">INDEX(Familias!B$2:B$17,MATCH(C108,Familias!A$2:A$17,0))</f>
        <v>Tecnología y electrónica</v>
      </c>
      <c r="E108" s="7" t="s">
        <v>691</v>
      </c>
      <c r="F108" s="7" t="s">
        <v>692</v>
      </c>
      <c r="G108" s="7" t="s">
        <v>135</v>
      </c>
      <c r="H108" s="7" t="s">
        <v>129</v>
      </c>
      <c r="I108" s="7"/>
    </row>
    <row r="109" customFormat="false" ht="15" hidden="false" customHeight="false" outlineLevel="0" collapsed="false">
      <c r="A109" s="7" t="s">
        <v>693</v>
      </c>
      <c r="B109" s="7" t="s">
        <v>694</v>
      </c>
      <c r="C109" s="7" t="s">
        <v>163</v>
      </c>
      <c r="D109" s="7" t="str">
        <f aca="false">INDEX(Familias!B$2:B$17,MATCH(C109,Familias!A$2:A$17,0))</f>
        <v>Tecnología y electrónica</v>
      </c>
      <c r="E109" s="7" t="s">
        <v>695</v>
      </c>
      <c r="F109" s="7" t="s">
        <v>696</v>
      </c>
      <c r="G109" s="7" t="s">
        <v>135</v>
      </c>
      <c r="H109" s="7" t="s">
        <v>129</v>
      </c>
      <c r="I109" s="7"/>
    </row>
    <row r="110" customFormat="false" ht="15" hidden="false" customHeight="false" outlineLevel="0" collapsed="false">
      <c r="A110" s="7" t="s">
        <v>697</v>
      </c>
      <c r="B110" s="7" t="s">
        <v>698</v>
      </c>
      <c r="C110" s="7" t="s">
        <v>168</v>
      </c>
      <c r="D110" s="7" t="str">
        <f aca="false">INDEX(Familias!B$2:B$17,MATCH(C110,Familias!A$2:A$17,0))</f>
        <v>Ferretería y construcción</v>
      </c>
      <c r="E110" s="7" t="s">
        <v>699</v>
      </c>
      <c r="F110" s="7" t="s">
        <v>700</v>
      </c>
      <c r="G110" s="7" t="s">
        <v>135</v>
      </c>
      <c r="H110" s="7" t="s">
        <v>129</v>
      </c>
      <c r="I110" s="7"/>
    </row>
    <row r="111" customFormat="false" ht="15" hidden="false" customHeight="false" outlineLevel="0" collapsed="false">
      <c r="A111" s="7" t="s">
        <v>701</v>
      </c>
      <c r="B111" s="7" t="s">
        <v>702</v>
      </c>
      <c r="C111" s="7" t="s">
        <v>168</v>
      </c>
      <c r="D111" s="7" t="str">
        <f aca="false">INDEX(Familias!B$2:B$17,MATCH(C111,Familias!A$2:A$17,0))</f>
        <v>Ferretería y construcción</v>
      </c>
      <c r="E111" s="7" t="s">
        <v>703</v>
      </c>
      <c r="F111" s="7" t="s">
        <v>704</v>
      </c>
      <c r="G111" s="7" t="s">
        <v>135</v>
      </c>
      <c r="H111" s="7" t="s">
        <v>195</v>
      </c>
      <c r="I111" s="7"/>
    </row>
    <row r="112" customFormat="false" ht="15" hidden="false" customHeight="false" outlineLevel="0" collapsed="false">
      <c r="A112" s="7" t="s">
        <v>705</v>
      </c>
      <c r="B112" s="7" t="s">
        <v>706</v>
      </c>
      <c r="C112" s="7" t="s">
        <v>168</v>
      </c>
      <c r="D112" s="7" t="str">
        <f aca="false">INDEX(Familias!B$2:B$17,MATCH(C112,Familias!A$2:A$17,0))</f>
        <v>Ferretería y construcción</v>
      </c>
      <c r="E112" s="7" t="s">
        <v>707</v>
      </c>
      <c r="F112" s="7" t="s">
        <v>708</v>
      </c>
      <c r="G112" s="7" t="s">
        <v>135</v>
      </c>
      <c r="H112" s="7" t="s">
        <v>583</v>
      </c>
      <c r="I112" s="7"/>
    </row>
    <row r="113" customFormat="false" ht="15" hidden="false" customHeight="false" outlineLevel="0" collapsed="false">
      <c r="A113" s="7" t="s">
        <v>709</v>
      </c>
      <c r="B113" s="7" t="s">
        <v>710</v>
      </c>
      <c r="C113" s="7" t="s">
        <v>168</v>
      </c>
      <c r="D113" s="7" t="str">
        <f aca="false">INDEX(Familias!B$2:B$17,MATCH(C113,Familias!A$2:A$17,0))</f>
        <v>Ferretería y construcción</v>
      </c>
      <c r="E113" s="7" t="s">
        <v>711</v>
      </c>
      <c r="F113" s="7" t="s">
        <v>712</v>
      </c>
      <c r="G113" s="7" t="s">
        <v>135</v>
      </c>
      <c r="H113" s="7" t="s">
        <v>713</v>
      </c>
      <c r="I113" s="7"/>
    </row>
    <row r="114" customFormat="false" ht="15" hidden="false" customHeight="false" outlineLevel="0" collapsed="false">
      <c r="A114" s="7" t="s">
        <v>714</v>
      </c>
      <c r="B114" s="7" t="s">
        <v>715</v>
      </c>
      <c r="C114" s="7" t="s">
        <v>168</v>
      </c>
      <c r="D114" s="7" t="str">
        <f aca="false">INDEX(Familias!B$2:B$17,MATCH(C114,Familias!A$2:A$17,0))</f>
        <v>Ferretería y construcción</v>
      </c>
      <c r="E114" s="7" t="s">
        <v>716</v>
      </c>
      <c r="F114" s="7" t="s">
        <v>717</v>
      </c>
      <c r="G114" s="7" t="s">
        <v>135</v>
      </c>
      <c r="H114" s="7" t="s">
        <v>129</v>
      </c>
      <c r="I114" s="7"/>
    </row>
    <row r="115" customFormat="false" ht="15" hidden="false" customHeight="false" outlineLevel="0" collapsed="false">
      <c r="A115" s="7" t="s">
        <v>718</v>
      </c>
      <c r="B115" s="7" t="s">
        <v>719</v>
      </c>
      <c r="C115" s="7" t="s">
        <v>168</v>
      </c>
      <c r="D115" s="7" t="str">
        <f aca="false">INDEX(Familias!B$2:B$17,MATCH(C115,Familias!A$2:A$17,0))</f>
        <v>Ferretería y construcción</v>
      </c>
      <c r="E115" s="7" t="s">
        <v>720</v>
      </c>
      <c r="F115" s="7" t="s">
        <v>721</v>
      </c>
      <c r="G115" s="7" t="s">
        <v>135</v>
      </c>
      <c r="H115" s="7" t="s">
        <v>713</v>
      </c>
      <c r="I115" s="7"/>
    </row>
    <row r="116" customFormat="false" ht="15" hidden="false" customHeight="false" outlineLevel="0" collapsed="false">
      <c r="A116" s="7" t="s">
        <v>722</v>
      </c>
      <c r="B116" s="7" t="s">
        <v>723</v>
      </c>
      <c r="C116" s="7" t="s">
        <v>168</v>
      </c>
      <c r="D116" s="7" t="str">
        <f aca="false">INDEX(Familias!B$2:B$17,MATCH(C116,Familias!A$2:A$17,0))</f>
        <v>Ferretería y construcción</v>
      </c>
      <c r="E116" s="7" t="s">
        <v>724</v>
      </c>
      <c r="F116" s="7" t="s">
        <v>725</v>
      </c>
      <c r="G116" s="7" t="s">
        <v>135</v>
      </c>
      <c r="H116" s="7" t="s">
        <v>726</v>
      </c>
      <c r="I116" s="7"/>
    </row>
    <row r="117" customFormat="false" ht="15" hidden="false" customHeight="false" outlineLevel="0" collapsed="false">
      <c r="A117" s="7" t="s">
        <v>727</v>
      </c>
      <c r="B117" s="7" t="s">
        <v>728</v>
      </c>
      <c r="C117" s="7" t="s">
        <v>168</v>
      </c>
      <c r="D117" s="7" t="str">
        <f aca="false">INDEX(Familias!B$2:B$17,MATCH(C117,Familias!A$2:A$17,0))</f>
        <v>Ferretería y construcción</v>
      </c>
      <c r="E117" s="7" t="s">
        <v>729</v>
      </c>
      <c r="F117" s="7" t="s">
        <v>730</v>
      </c>
      <c r="G117" s="7" t="s">
        <v>135</v>
      </c>
      <c r="H117" s="7" t="s">
        <v>129</v>
      </c>
      <c r="I117" s="7"/>
    </row>
    <row r="118" customFormat="false" ht="15" hidden="false" customHeight="false" outlineLevel="0" collapsed="false">
      <c r="A118" s="7" t="s">
        <v>731</v>
      </c>
      <c r="B118" s="7" t="s">
        <v>732</v>
      </c>
      <c r="C118" s="7" t="s">
        <v>168</v>
      </c>
      <c r="D118" s="7" t="str">
        <f aca="false">INDEX(Familias!B$2:B$17,MATCH(C118,Familias!A$2:A$17,0))</f>
        <v>Ferretería y construcción</v>
      </c>
      <c r="E118" s="7" t="s">
        <v>733</v>
      </c>
      <c r="F118" s="7" t="s">
        <v>734</v>
      </c>
      <c r="G118" s="7" t="s">
        <v>135</v>
      </c>
      <c r="H118" s="7" t="s">
        <v>129</v>
      </c>
      <c r="I118" s="7"/>
    </row>
    <row r="119" customFormat="false" ht="15" hidden="false" customHeight="false" outlineLevel="0" collapsed="false">
      <c r="A119" s="7" t="s">
        <v>735</v>
      </c>
      <c r="B119" s="7" t="s">
        <v>736</v>
      </c>
      <c r="C119" s="7" t="s">
        <v>168</v>
      </c>
      <c r="D119" s="7" t="str">
        <f aca="false">INDEX(Familias!B$2:B$17,MATCH(C119,Familias!A$2:A$17,0))</f>
        <v>Ferretería y construcción</v>
      </c>
      <c r="E119" s="7" t="s">
        <v>737</v>
      </c>
      <c r="F119" s="7" t="s">
        <v>738</v>
      </c>
      <c r="G119" s="7" t="s">
        <v>135</v>
      </c>
      <c r="H119" s="7" t="s">
        <v>195</v>
      </c>
      <c r="I119" s="7"/>
    </row>
    <row r="120" customFormat="false" ht="15" hidden="false" customHeight="false" outlineLevel="0" collapsed="false">
      <c r="A120" s="7" t="s">
        <v>739</v>
      </c>
      <c r="B120" s="7" t="s">
        <v>740</v>
      </c>
      <c r="C120" s="7" t="s">
        <v>172</v>
      </c>
      <c r="D120" s="7" t="str">
        <f aca="false">INDEX(Familias!B$2:B$17,MATCH(C120,Familias!A$2:A$17,0))</f>
        <v>Servicios con cita</v>
      </c>
      <c r="E120" s="7" t="s">
        <v>741</v>
      </c>
      <c r="F120" s="7" t="s">
        <v>742</v>
      </c>
      <c r="G120" s="7" t="s">
        <v>175</v>
      </c>
      <c r="H120" s="7" t="s">
        <v>176</v>
      </c>
      <c r="I120" s="7"/>
    </row>
    <row r="121" customFormat="false" ht="15" hidden="false" customHeight="false" outlineLevel="0" collapsed="false">
      <c r="A121" s="7" t="s">
        <v>743</v>
      </c>
      <c r="B121" s="7" t="s">
        <v>744</v>
      </c>
      <c r="C121" s="7" t="s">
        <v>172</v>
      </c>
      <c r="D121" s="7" t="str">
        <f aca="false">INDEX(Familias!B$2:B$17,MATCH(C121,Familias!A$2:A$17,0))</f>
        <v>Servicios con cita</v>
      </c>
      <c r="E121" s="7" t="s">
        <v>745</v>
      </c>
      <c r="F121" s="7" t="s">
        <v>746</v>
      </c>
      <c r="G121" s="7" t="s">
        <v>175</v>
      </c>
      <c r="H121" s="7" t="s">
        <v>176</v>
      </c>
      <c r="I121" s="7"/>
    </row>
    <row r="122" customFormat="false" ht="15" hidden="false" customHeight="false" outlineLevel="0" collapsed="false">
      <c r="A122" s="7" t="s">
        <v>747</v>
      </c>
      <c r="B122" s="7" t="s">
        <v>748</v>
      </c>
      <c r="C122" s="7" t="s">
        <v>172</v>
      </c>
      <c r="D122" s="7" t="str">
        <f aca="false">INDEX(Familias!B$2:B$17,MATCH(C122,Familias!A$2:A$17,0))</f>
        <v>Servicios con cita</v>
      </c>
      <c r="E122" s="7" t="s">
        <v>749</v>
      </c>
      <c r="F122" s="7" t="s">
        <v>750</v>
      </c>
      <c r="G122" s="7" t="s">
        <v>175</v>
      </c>
      <c r="H122" s="7" t="s">
        <v>176</v>
      </c>
      <c r="I122" s="7"/>
    </row>
    <row r="123" customFormat="false" ht="15" hidden="false" customHeight="false" outlineLevel="0" collapsed="false">
      <c r="A123" s="7" t="s">
        <v>751</v>
      </c>
      <c r="B123" s="7" t="s">
        <v>752</v>
      </c>
      <c r="C123" s="7" t="s">
        <v>172</v>
      </c>
      <c r="D123" s="7" t="str">
        <f aca="false">INDEX(Familias!B$2:B$17,MATCH(C123,Familias!A$2:A$17,0))</f>
        <v>Servicios con cita</v>
      </c>
      <c r="E123" s="7" t="s">
        <v>753</v>
      </c>
      <c r="F123" s="7" t="s">
        <v>754</v>
      </c>
      <c r="G123" s="7" t="s">
        <v>175</v>
      </c>
      <c r="H123" s="7" t="s">
        <v>176</v>
      </c>
      <c r="I123" s="7"/>
    </row>
    <row r="124" customFormat="false" ht="15" hidden="false" customHeight="false" outlineLevel="0" collapsed="false">
      <c r="A124" s="7" t="s">
        <v>755</v>
      </c>
      <c r="B124" s="7" t="s">
        <v>756</v>
      </c>
      <c r="C124" s="7" t="s">
        <v>172</v>
      </c>
      <c r="D124" s="7" t="str">
        <f aca="false">INDEX(Familias!B$2:B$17,MATCH(C124,Familias!A$2:A$17,0))</f>
        <v>Servicios con cita</v>
      </c>
      <c r="E124" s="7" t="s">
        <v>757</v>
      </c>
      <c r="F124" s="7" t="s">
        <v>758</v>
      </c>
      <c r="G124" s="7" t="s">
        <v>175</v>
      </c>
      <c r="H124" s="7" t="s">
        <v>176</v>
      </c>
      <c r="I124" s="7"/>
    </row>
    <row r="125" customFormat="false" ht="15" hidden="false" customHeight="false" outlineLevel="0" collapsed="false">
      <c r="A125" s="7" t="s">
        <v>759</v>
      </c>
      <c r="B125" s="7" t="s">
        <v>760</v>
      </c>
      <c r="C125" s="7" t="s">
        <v>172</v>
      </c>
      <c r="D125" s="7" t="str">
        <f aca="false">INDEX(Familias!B$2:B$17,MATCH(C125,Familias!A$2:A$17,0))</f>
        <v>Servicios con cita</v>
      </c>
      <c r="E125" s="7" t="s">
        <v>761</v>
      </c>
      <c r="F125" s="7" t="s">
        <v>762</v>
      </c>
      <c r="G125" s="7" t="s">
        <v>175</v>
      </c>
      <c r="H125" s="7" t="s">
        <v>176</v>
      </c>
      <c r="I125" s="7"/>
    </row>
    <row r="126" customFormat="false" ht="15" hidden="false" customHeight="false" outlineLevel="0" collapsed="false">
      <c r="A126" s="7" t="s">
        <v>763</v>
      </c>
      <c r="B126" s="7" t="s">
        <v>764</v>
      </c>
      <c r="C126" s="7" t="s">
        <v>172</v>
      </c>
      <c r="D126" s="7" t="str">
        <f aca="false">INDEX(Familias!B$2:B$17,MATCH(C126,Familias!A$2:A$17,0))</f>
        <v>Servicios con cita</v>
      </c>
      <c r="E126" s="7" t="s">
        <v>765</v>
      </c>
      <c r="F126" s="7" t="s">
        <v>766</v>
      </c>
      <c r="G126" s="7" t="s">
        <v>175</v>
      </c>
      <c r="H126" s="7" t="s">
        <v>176</v>
      </c>
      <c r="I126" s="7" t="s">
        <v>767</v>
      </c>
    </row>
    <row r="127" customFormat="false" ht="15" hidden="false" customHeight="false" outlineLevel="0" collapsed="false">
      <c r="A127" s="7" t="s">
        <v>768</v>
      </c>
      <c r="B127" s="7" t="s">
        <v>769</v>
      </c>
      <c r="C127" s="7" t="s">
        <v>172</v>
      </c>
      <c r="D127" s="7" t="str">
        <f aca="false">INDEX(Familias!B$2:B$17,MATCH(C127,Familias!A$2:A$17,0))</f>
        <v>Servicios con cita</v>
      </c>
      <c r="E127" s="7" t="s">
        <v>770</v>
      </c>
      <c r="F127" s="7" t="s">
        <v>771</v>
      </c>
      <c r="G127" s="7" t="s">
        <v>175</v>
      </c>
      <c r="H127" s="7" t="s">
        <v>176</v>
      </c>
      <c r="I127" s="7" t="s">
        <v>772</v>
      </c>
    </row>
    <row r="128" customFormat="false" ht="15" hidden="false" customHeight="false" outlineLevel="0" collapsed="false">
      <c r="A128" s="7" t="s">
        <v>773</v>
      </c>
      <c r="B128" s="7" t="s">
        <v>774</v>
      </c>
      <c r="C128" s="7" t="s">
        <v>172</v>
      </c>
      <c r="D128" s="7" t="str">
        <f aca="false">INDEX(Familias!B$2:B$17,MATCH(C128,Familias!A$2:A$17,0))</f>
        <v>Servicios con cita</v>
      </c>
      <c r="E128" s="7" t="s">
        <v>775</v>
      </c>
      <c r="F128" s="7" t="s">
        <v>776</v>
      </c>
      <c r="G128" s="7" t="s">
        <v>175</v>
      </c>
      <c r="H128" s="7" t="s">
        <v>176</v>
      </c>
      <c r="I128" s="7" t="s">
        <v>777</v>
      </c>
    </row>
    <row r="129" customFormat="false" ht="15" hidden="false" customHeight="false" outlineLevel="0" collapsed="false">
      <c r="A129" s="7" t="s">
        <v>778</v>
      </c>
      <c r="B129" s="7" t="s">
        <v>779</v>
      </c>
      <c r="C129" s="7" t="s">
        <v>172</v>
      </c>
      <c r="D129" s="7" t="str">
        <f aca="false">INDEX(Familias!B$2:B$17,MATCH(C129,Familias!A$2:A$17,0))</f>
        <v>Servicios con cita</v>
      </c>
      <c r="E129" s="7" t="s">
        <v>780</v>
      </c>
      <c r="F129" s="7" t="s">
        <v>781</v>
      </c>
      <c r="G129" s="7" t="s">
        <v>175</v>
      </c>
      <c r="H129" s="7" t="s">
        <v>176</v>
      </c>
      <c r="I129" s="7" t="s">
        <v>782</v>
      </c>
    </row>
    <row r="130" customFormat="false" ht="15" hidden="false" customHeight="false" outlineLevel="0" collapsed="false">
      <c r="A130" s="7" t="s">
        <v>783</v>
      </c>
      <c r="B130" s="7" t="s">
        <v>784</v>
      </c>
      <c r="C130" s="7" t="s">
        <v>172</v>
      </c>
      <c r="D130" s="7" t="str">
        <f aca="false">INDEX(Familias!B$2:B$17,MATCH(C130,Familias!A$2:A$17,0))</f>
        <v>Servicios con cita</v>
      </c>
      <c r="E130" s="7" t="s">
        <v>785</v>
      </c>
      <c r="F130" s="7" t="s">
        <v>786</v>
      </c>
      <c r="G130" s="7" t="s">
        <v>175</v>
      </c>
      <c r="H130" s="7" t="s">
        <v>176</v>
      </c>
      <c r="I130" s="7"/>
    </row>
    <row r="131" customFormat="false" ht="15" hidden="false" customHeight="false" outlineLevel="0" collapsed="false">
      <c r="A131" s="7" t="s">
        <v>787</v>
      </c>
      <c r="B131" s="7" t="s">
        <v>788</v>
      </c>
      <c r="C131" s="7" t="s">
        <v>172</v>
      </c>
      <c r="D131" s="7" t="str">
        <f aca="false">INDEX(Familias!B$2:B$17,MATCH(C131,Familias!A$2:A$17,0))</f>
        <v>Servicios con cita</v>
      </c>
      <c r="E131" s="7" t="s">
        <v>789</v>
      </c>
      <c r="F131" s="7" t="s">
        <v>790</v>
      </c>
      <c r="G131" s="7" t="s">
        <v>175</v>
      </c>
      <c r="H131" s="7" t="s">
        <v>176</v>
      </c>
      <c r="I131" s="7"/>
    </row>
    <row r="132" customFormat="false" ht="15" hidden="false" customHeight="false" outlineLevel="0" collapsed="false">
      <c r="A132" s="7" t="s">
        <v>791</v>
      </c>
      <c r="B132" s="7" t="s">
        <v>792</v>
      </c>
      <c r="C132" s="7" t="s">
        <v>172</v>
      </c>
      <c r="D132" s="7" t="str">
        <f aca="false">INDEX(Familias!B$2:B$17,MATCH(C132,Familias!A$2:A$17,0))</f>
        <v>Servicios con cita</v>
      </c>
      <c r="E132" s="7" t="s">
        <v>793</v>
      </c>
      <c r="F132" s="7" t="s">
        <v>794</v>
      </c>
      <c r="G132" s="7" t="s">
        <v>175</v>
      </c>
      <c r="H132" s="7" t="s">
        <v>176</v>
      </c>
      <c r="I132" s="7"/>
    </row>
    <row r="133" customFormat="false" ht="15" hidden="false" customHeight="false" outlineLevel="0" collapsed="false">
      <c r="A133" s="7" t="s">
        <v>795</v>
      </c>
      <c r="B133" s="7" t="s">
        <v>796</v>
      </c>
      <c r="C133" s="7" t="s">
        <v>172</v>
      </c>
      <c r="D133" s="7" t="str">
        <f aca="false">INDEX(Familias!B$2:B$17,MATCH(C133,Familias!A$2:A$17,0))</f>
        <v>Servicios con cita</v>
      </c>
      <c r="E133" s="7" t="s">
        <v>797</v>
      </c>
      <c r="F133" s="7" t="s">
        <v>798</v>
      </c>
      <c r="G133" s="7" t="s">
        <v>175</v>
      </c>
      <c r="H133" s="7" t="s">
        <v>176</v>
      </c>
      <c r="I133" s="7"/>
    </row>
    <row r="134" customFormat="false" ht="15" hidden="false" customHeight="false" outlineLevel="0" collapsed="false">
      <c r="A134" s="7" t="s">
        <v>799</v>
      </c>
      <c r="B134" s="7" t="s">
        <v>800</v>
      </c>
      <c r="C134" s="7" t="s">
        <v>172</v>
      </c>
      <c r="D134" s="7" t="str">
        <f aca="false">INDEX(Familias!B$2:B$17,MATCH(C134,Familias!A$2:A$17,0))</f>
        <v>Servicios con cita</v>
      </c>
      <c r="E134" s="7" t="s">
        <v>801</v>
      </c>
      <c r="F134" s="7" t="s">
        <v>802</v>
      </c>
      <c r="G134" s="7" t="s">
        <v>175</v>
      </c>
      <c r="H134" s="7" t="s">
        <v>176</v>
      </c>
      <c r="I134" s="7"/>
    </row>
    <row r="135" customFormat="false" ht="15" hidden="false" customHeight="false" outlineLevel="0" collapsed="false">
      <c r="A135" s="7" t="s">
        <v>803</v>
      </c>
      <c r="B135" s="7" t="s">
        <v>804</v>
      </c>
      <c r="C135" s="7" t="s">
        <v>172</v>
      </c>
      <c r="D135" s="7" t="str">
        <f aca="false">INDEX(Familias!B$2:B$17,MATCH(C135,Familias!A$2:A$17,0))</f>
        <v>Servicios con cita</v>
      </c>
      <c r="E135" s="7" t="s">
        <v>805</v>
      </c>
      <c r="F135" s="7" t="s">
        <v>806</v>
      </c>
      <c r="G135" s="7" t="s">
        <v>175</v>
      </c>
      <c r="H135" s="7" t="s">
        <v>176</v>
      </c>
      <c r="I135" s="7"/>
    </row>
    <row r="136" customFormat="false" ht="15" hidden="false" customHeight="false" outlineLevel="0" collapsed="false">
      <c r="A136" s="7" t="s">
        <v>807</v>
      </c>
      <c r="B136" s="7" t="s">
        <v>808</v>
      </c>
      <c r="C136" s="7" t="s">
        <v>172</v>
      </c>
      <c r="D136" s="7" t="str">
        <f aca="false">INDEX(Familias!B$2:B$17,MATCH(C136,Familias!A$2:A$17,0))</f>
        <v>Servicios con cita</v>
      </c>
      <c r="E136" s="7" t="s">
        <v>809</v>
      </c>
      <c r="F136" s="7" t="s">
        <v>810</v>
      </c>
      <c r="G136" s="7" t="s">
        <v>175</v>
      </c>
      <c r="H136" s="7" t="s">
        <v>176</v>
      </c>
      <c r="I136" s="7"/>
    </row>
    <row r="137" customFormat="false" ht="15" hidden="false" customHeight="false" outlineLevel="0" collapsed="false">
      <c r="A137" s="7" t="s">
        <v>811</v>
      </c>
      <c r="B137" s="7" t="s">
        <v>812</v>
      </c>
      <c r="C137" s="7" t="s">
        <v>172</v>
      </c>
      <c r="D137" s="7" t="str">
        <f aca="false">INDEX(Familias!B$2:B$17,MATCH(C137,Familias!A$2:A$17,0))</f>
        <v>Servicios con cita</v>
      </c>
      <c r="E137" s="7" t="s">
        <v>813</v>
      </c>
      <c r="F137" s="7" t="s">
        <v>814</v>
      </c>
      <c r="G137" s="7" t="s">
        <v>175</v>
      </c>
      <c r="H137" s="7" t="s">
        <v>176</v>
      </c>
      <c r="I137" s="7"/>
    </row>
    <row r="138" customFormat="false" ht="15" hidden="false" customHeight="false" outlineLevel="0" collapsed="false">
      <c r="A138" s="7" t="s">
        <v>815</v>
      </c>
      <c r="B138" s="7" t="s">
        <v>816</v>
      </c>
      <c r="C138" s="7" t="s">
        <v>179</v>
      </c>
      <c r="D138" s="7" t="str">
        <f aca="false">INDEX(Familias!B$2:B$17,MATCH(C138,Familias!A$2:A$17,0))</f>
        <v>Talleres y servicio técnico</v>
      </c>
      <c r="E138" s="7" t="s">
        <v>817</v>
      </c>
      <c r="F138" s="7" t="s">
        <v>818</v>
      </c>
      <c r="G138" s="7" t="s">
        <v>175</v>
      </c>
      <c r="H138" s="7" t="s">
        <v>176</v>
      </c>
      <c r="I138" s="7" t="s">
        <v>819</v>
      </c>
    </row>
    <row r="139" customFormat="false" ht="15" hidden="false" customHeight="false" outlineLevel="0" collapsed="false">
      <c r="A139" s="7" t="s">
        <v>820</v>
      </c>
      <c r="B139" s="7" t="s">
        <v>821</v>
      </c>
      <c r="C139" s="7" t="s">
        <v>179</v>
      </c>
      <c r="D139" s="7" t="str">
        <f aca="false">INDEX(Familias!B$2:B$17,MATCH(C139,Familias!A$2:A$17,0))</f>
        <v>Talleres y servicio técnico</v>
      </c>
      <c r="E139" s="7" t="s">
        <v>822</v>
      </c>
      <c r="F139" s="7" t="s">
        <v>823</v>
      </c>
      <c r="G139" s="7" t="s">
        <v>175</v>
      </c>
      <c r="H139" s="7" t="s">
        <v>176</v>
      </c>
      <c r="I139" s="7" t="s">
        <v>824</v>
      </c>
    </row>
    <row r="140" customFormat="false" ht="15" hidden="false" customHeight="false" outlineLevel="0" collapsed="false">
      <c r="A140" s="7" t="s">
        <v>825</v>
      </c>
      <c r="B140" s="7" t="s">
        <v>826</v>
      </c>
      <c r="C140" s="7" t="s">
        <v>179</v>
      </c>
      <c r="D140" s="7" t="str">
        <f aca="false">INDEX(Familias!B$2:B$17,MATCH(C140,Familias!A$2:A$17,0))</f>
        <v>Talleres y servicio técnico</v>
      </c>
      <c r="E140" s="7" t="s">
        <v>827</v>
      </c>
      <c r="F140" s="7" t="s">
        <v>828</v>
      </c>
      <c r="G140" s="7" t="s">
        <v>175</v>
      </c>
      <c r="H140" s="7" t="s">
        <v>176</v>
      </c>
      <c r="I140" s="7"/>
    </row>
    <row r="141" customFormat="false" ht="15" hidden="false" customHeight="false" outlineLevel="0" collapsed="false">
      <c r="A141" s="7" t="s">
        <v>829</v>
      </c>
      <c r="B141" s="7" t="s">
        <v>830</v>
      </c>
      <c r="C141" s="7" t="s">
        <v>179</v>
      </c>
      <c r="D141" s="7" t="str">
        <f aca="false">INDEX(Familias!B$2:B$17,MATCH(C141,Familias!A$2:A$17,0))</f>
        <v>Talleres y servicio técnico</v>
      </c>
      <c r="E141" s="7" t="s">
        <v>831</v>
      </c>
      <c r="F141" s="7" t="s">
        <v>832</v>
      </c>
      <c r="G141" s="7" t="s">
        <v>175</v>
      </c>
      <c r="H141" s="7" t="s">
        <v>176</v>
      </c>
      <c r="I141" s="7"/>
    </row>
    <row r="142" customFormat="false" ht="15" hidden="false" customHeight="false" outlineLevel="0" collapsed="false">
      <c r="A142" s="7" t="s">
        <v>833</v>
      </c>
      <c r="B142" s="7" t="s">
        <v>834</v>
      </c>
      <c r="C142" s="7" t="s">
        <v>179</v>
      </c>
      <c r="D142" s="7" t="str">
        <f aca="false">INDEX(Familias!B$2:B$17,MATCH(C142,Familias!A$2:A$17,0))</f>
        <v>Talleres y servicio técnico</v>
      </c>
      <c r="E142" s="7" t="s">
        <v>835</v>
      </c>
      <c r="F142" s="7" t="s">
        <v>818</v>
      </c>
      <c r="G142" s="7" t="s">
        <v>175</v>
      </c>
      <c r="H142" s="7" t="s">
        <v>176</v>
      </c>
      <c r="I142" s="7"/>
    </row>
    <row r="143" customFormat="false" ht="15" hidden="false" customHeight="false" outlineLevel="0" collapsed="false">
      <c r="A143" s="7" t="s">
        <v>836</v>
      </c>
      <c r="B143" s="7" t="s">
        <v>837</v>
      </c>
      <c r="C143" s="7" t="s">
        <v>179</v>
      </c>
      <c r="D143" s="7" t="str">
        <f aca="false">INDEX(Familias!B$2:B$17,MATCH(C143,Familias!A$2:A$17,0))</f>
        <v>Talleres y servicio técnico</v>
      </c>
      <c r="E143" s="7" t="s">
        <v>838</v>
      </c>
      <c r="F143" s="7" t="s">
        <v>839</v>
      </c>
      <c r="G143" s="7" t="s">
        <v>175</v>
      </c>
      <c r="H143" s="7" t="s">
        <v>176</v>
      </c>
      <c r="I143" s="7"/>
    </row>
    <row r="144" customFormat="false" ht="15" hidden="false" customHeight="false" outlineLevel="0" collapsed="false">
      <c r="A144" s="7" t="s">
        <v>840</v>
      </c>
      <c r="B144" s="7" t="s">
        <v>841</v>
      </c>
      <c r="C144" s="7" t="s">
        <v>179</v>
      </c>
      <c r="D144" s="7" t="str">
        <f aca="false">INDEX(Familias!B$2:B$17,MATCH(C144,Familias!A$2:A$17,0))</f>
        <v>Talleres y servicio técnico</v>
      </c>
      <c r="E144" s="7" t="s">
        <v>842</v>
      </c>
      <c r="F144" s="7" t="s">
        <v>843</v>
      </c>
      <c r="G144" s="7" t="s">
        <v>175</v>
      </c>
      <c r="H144" s="7" t="s">
        <v>176</v>
      </c>
      <c r="I144" s="7"/>
    </row>
    <row r="145" customFormat="false" ht="15" hidden="false" customHeight="false" outlineLevel="0" collapsed="false">
      <c r="A145" s="7" t="s">
        <v>844</v>
      </c>
      <c r="B145" s="7" t="s">
        <v>845</v>
      </c>
      <c r="C145" s="7" t="s">
        <v>179</v>
      </c>
      <c r="D145" s="7" t="str">
        <f aca="false">INDEX(Familias!B$2:B$17,MATCH(C145,Familias!A$2:A$17,0))</f>
        <v>Talleres y servicio técnico</v>
      </c>
      <c r="E145" s="7" t="s">
        <v>846</v>
      </c>
      <c r="F145" s="7" t="s">
        <v>847</v>
      </c>
      <c r="G145" s="7" t="s">
        <v>175</v>
      </c>
      <c r="H145" s="7" t="s">
        <v>176</v>
      </c>
      <c r="I145" s="7"/>
    </row>
    <row r="146" customFormat="false" ht="15" hidden="false" customHeight="false" outlineLevel="0" collapsed="false">
      <c r="A146" s="7" t="s">
        <v>848</v>
      </c>
      <c r="B146" s="7" t="s">
        <v>849</v>
      </c>
      <c r="C146" s="7" t="s">
        <v>179</v>
      </c>
      <c r="D146" s="7" t="str">
        <f aca="false">INDEX(Familias!B$2:B$17,MATCH(C146,Familias!A$2:A$17,0))</f>
        <v>Talleres y servicio técnico</v>
      </c>
      <c r="E146" s="7" t="s">
        <v>850</v>
      </c>
      <c r="F146" s="7" t="s">
        <v>851</v>
      </c>
      <c r="G146" s="7" t="s">
        <v>175</v>
      </c>
      <c r="H146" s="7" t="s">
        <v>176</v>
      </c>
      <c r="I146" s="7"/>
    </row>
    <row r="147" customFormat="false" ht="15" hidden="false" customHeight="false" outlineLevel="0" collapsed="false">
      <c r="A147" s="7" t="s">
        <v>852</v>
      </c>
      <c r="B147" s="7" t="s">
        <v>853</v>
      </c>
      <c r="C147" s="7" t="s">
        <v>179</v>
      </c>
      <c r="D147" s="7" t="str">
        <f aca="false">INDEX(Familias!B$2:B$17,MATCH(C147,Familias!A$2:A$17,0))</f>
        <v>Talleres y servicio técnico</v>
      </c>
      <c r="E147" s="7" t="s">
        <v>854</v>
      </c>
      <c r="F147" s="7" t="s">
        <v>855</v>
      </c>
      <c r="G147" s="7" t="s">
        <v>175</v>
      </c>
      <c r="H147" s="7" t="s">
        <v>176</v>
      </c>
      <c r="I147" s="7"/>
    </row>
    <row r="148" customFormat="false" ht="15" hidden="false" customHeight="false" outlineLevel="0" collapsed="false">
      <c r="A148" s="7" t="s">
        <v>856</v>
      </c>
      <c r="B148" s="7" t="s">
        <v>857</v>
      </c>
      <c r="C148" s="7" t="s">
        <v>179</v>
      </c>
      <c r="D148" s="7" t="str">
        <f aca="false">INDEX(Familias!B$2:B$17,MATCH(C148,Familias!A$2:A$17,0))</f>
        <v>Talleres y servicio técnico</v>
      </c>
      <c r="E148" s="7" t="s">
        <v>858</v>
      </c>
      <c r="F148" s="7" t="s">
        <v>859</v>
      </c>
      <c r="G148" s="7" t="s">
        <v>175</v>
      </c>
      <c r="H148" s="7" t="s">
        <v>176</v>
      </c>
      <c r="I148" s="7"/>
    </row>
    <row r="149" customFormat="false" ht="15" hidden="false" customHeight="false" outlineLevel="0" collapsed="false">
      <c r="A149" s="7" t="s">
        <v>860</v>
      </c>
      <c r="B149" s="7" t="s">
        <v>861</v>
      </c>
      <c r="C149" s="7" t="s">
        <v>179</v>
      </c>
      <c r="D149" s="7" t="str">
        <f aca="false">INDEX(Familias!B$2:B$17,MATCH(C149,Familias!A$2:A$17,0))</f>
        <v>Talleres y servicio técnico</v>
      </c>
      <c r="E149" s="7" t="s">
        <v>862</v>
      </c>
      <c r="F149" s="7" t="s">
        <v>863</v>
      </c>
      <c r="G149" s="7" t="s">
        <v>175</v>
      </c>
      <c r="H149" s="7" t="s">
        <v>176</v>
      </c>
      <c r="I149" s="7"/>
    </row>
    <row r="150" customFormat="false" ht="15" hidden="false" customHeight="false" outlineLevel="0" collapsed="false">
      <c r="A150" s="7" t="s">
        <v>864</v>
      </c>
      <c r="B150" s="7" t="s">
        <v>865</v>
      </c>
      <c r="C150" s="7" t="s">
        <v>179</v>
      </c>
      <c r="D150" s="7" t="str">
        <f aca="false">INDEX(Familias!B$2:B$17,MATCH(C150,Familias!A$2:A$17,0))</f>
        <v>Talleres y servicio técnico</v>
      </c>
      <c r="E150" s="7" t="s">
        <v>866</v>
      </c>
      <c r="F150" s="7" t="s">
        <v>867</v>
      </c>
      <c r="G150" s="7" t="s">
        <v>175</v>
      </c>
      <c r="H150" s="7" t="s">
        <v>176</v>
      </c>
      <c r="I150" s="7"/>
    </row>
    <row r="151" customFormat="false" ht="15" hidden="false" customHeight="false" outlineLevel="0" collapsed="false">
      <c r="A151" s="7" t="s">
        <v>868</v>
      </c>
      <c r="B151" s="7" t="s">
        <v>869</v>
      </c>
      <c r="C151" s="7" t="s">
        <v>179</v>
      </c>
      <c r="D151" s="7" t="str">
        <f aca="false">INDEX(Familias!B$2:B$17,MATCH(C151,Familias!A$2:A$17,0))</f>
        <v>Talleres y servicio técnico</v>
      </c>
      <c r="E151" s="7" t="s">
        <v>870</v>
      </c>
      <c r="F151" s="7" t="s">
        <v>871</v>
      </c>
      <c r="G151" s="7" t="s">
        <v>175</v>
      </c>
      <c r="H151" s="7" t="s">
        <v>176</v>
      </c>
      <c r="I151" s="7"/>
    </row>
    <row r="152" customFormat="false" ht="15" hidden="false" customHeight="false" outlineLevel="0" collapsed="false">
      <c r="A152" s="7" t="s">
        <v>872</v>
      </c>
      <c r="B152" s="7" t="s">
        <v>873</v>
      </c>
      <c r="C152" s="7" t="s">
        <v>179</v>
      </c>
      <c r="D152" s="7" t="str">
        <f aca="false">INDEX(Familias!B$2:B$17,MATCH(C152,Familias!A$2:A$17,0))</f>
        <v>Talleres y servicio técnico</v>
      </c>
      <c r="E152" s="7" t="s">
        <v>874</v>
      </c>
      <c r="F152" s="7" t="s">
        <v>875</v>
      </c>
      <c r="G152" s="7" t="s">
        <v>175</v>
      </c>
      <c r="H152" s="7" t="s">
        <v>176</v>
      </c>
      <c r="I152" s="7"/>
    </row>
    <row r="153" customFormat="false" ht="15" hidden="false" customHeight="false" outlineLevel="0" collapsed="false">
      <c r="A153" s="7" t="s">
        <v>876</v>
      </c>
      <c r="B153" s="7" t="s">
        <v>877</v>
      </c>
      <c r="C153" s="7" t="s">
        <v>179</v>
      </c>
      <c r="D153" s="7" t="str">
        <f aca="false">INDEX(Familias!B$2:B$17,MATCH(C153,Familias!A$2:A$17,0))</f>
        <v>Talleres y servicio técnico</v>
      </c>
      <c r="E153" s="7" t="s">
        <v>878</v>
      </c>
      <c r="F153" s="7" t="s">
        <v>879</v>
      </c>
      <c r="G153" s="7" t="s">
        <v>175</v>
      </c>
      <c r="H153" s="7" t="s">
        <v>405</v>
      </c>
      <c r="I153" s="7"/>
    </row>
    <row r="154" customFormat="false" ht="15" hidden="false" customHeight="false" outlineLevel="0" collapsed="false">
      <c r="A154" s="7" t="s">
        <v>880</v>
      </c>
      <c r="B154" s="7" t="s">
        <v>881</v>
      </c>
      <c r="C154" s="7" t="s">
        <v>179</v>
      </c>
      <c r="D154" s="7" t="str">
        <f aca="false">INDEX(Familias!B$2:B$17,MATCH(C154,Familias!A$2:A$17,0))</f>
        <v>Talleres y servicio técnico</v>
      </c>
      <c r="E154" s="7" t="s">
        <v>882</v>
      </c>
      <c r="F154" s="7" t="s">
        <v>883</v>
      </c>
      <c r="G154" s="7" t="s">
        <v>175</v>
      </c>
      <c r="H154" s="7" t="s">
        <v>176</v>
      </c>
      <c r="I154" s="7"/>
    </row>
    <row r="155" customFormat="false" ht="15" hidden="false" customHeight="false" outlineLevel="0" collapsed="false">
      <c r="A155" s="7" t="s">
        <v>884</v>
      </c>
      <c r="B155" s="7" t="s">
        <v>885</v>
      </c>
      <c r="C155" s="7" t="s">
        <v>179</v>
      </c>
      <c r="D155" s="7" t="str">
        <f aca="false">INDEX(Familias!B$2:B$17,MATCH(C155,Familias!A$2:A$17,0))</f>
        <v>Talleres y servicio técnico</v>
      </c>
      <c r="E155" s="7" t="s">
        <v>886</v>
      </c>
      <c r="F155" s="7" t="s">
        <v>887</v>
      </c>
      <c r="G155" s="7" t="s">
        <v>175</v>
      </c>
      <c r="H155" s="7" t="s">
        <v>176</v>
      </c>
      <c r="I155" s="7"/>
    </row>
    <row r="156" customFormat="false" ht="15" hidden="false" customHeight="false" outlineLevel="0" collapsed="false">
      <c r="A156" s="7" t="s">
        <v>888</v>
      </c>
      <c r="B156" s="7" t="s">
        <v>889</v>
      </c>
      <c r="C156" s="7" t="s">
        <v>183</v>
      </c>
      <c r="D156" s="7" t="str">
        <f aca="false">INDEX(Familias!B$2:B$17,MATCH(C156,Familias!A$2:A$17,0))</f>
        <v>Servicios profesionales</v>
      </c>
      <c r="E156" s="7" t="s">
        <v>890</v>
      </c>
      <c r="F156" s="7" t="s">
        <v>891</v>
      </c>
      <c r="G156" s="7" t="s">
        <v>175</v>
      </c>
      <c r="H156" s="7" t="s">
        <v>176</v>
      </c>
      <c r="I156" s="7" t="s">
        <v>892</v>
      </c>
    </row>
    <row r="157" customFormat="false" ht="15" hidden="false" customHeight="false" outlineLevel="0" collapsed="false">
      <c r="A157" s="7" t="s">
        <v>893</v>
      </c>
      <c r="B157" s="7" t="s">
        <v>894</v>
      </c>
      <c r="C157" s="7" t="s">
        <v>183</v>
      </c>
      <c r="D157" s="7" t="str">
        <f aca="false">INDEX(Familias!B$2:B$17,MATCH(C157,Familias!A$2:A$17,0))</f>
        <v>Servicios profesionales</v>
      </c>
      <c r="E157" s="7" t="s">
        <v>895</v>
      </c>
      <c r="F157" s="7" t="s">
        <v>896</v>
      </c>
      <c r="G157" s="7" t="s">
        <v>175</v>
      </c>
      <c r="H157" s="7" t="s">
        <v>176</v>
      </c>
      <c r="I157" s="7"/>
    </row>
    <row r="158" customFormat="false" ht="15" hidden="false" customHeight="false" outlineLevel="0" collapsed="false">
      <c r="A158" s="7" t="s">
        <v>897</v>
      </c>
      <c r="B158" s="7" t="s">
        <v>898</v>
      </c>
      <c r="C158" s="7" t="s">
        <v>183</v>
      </c>
      <c r="D158" s="7" t="str">
        <f aca="false">INDEX(Familias!B$2:B$17,MATCH(C158,Familias!A$2:A$17,0))</f>
        <v>Servicios profesionales</v>
      </c>
      <c r="E158" s="7" t="s">
        <v>899</v>
      </c>
      <c r="F158" s="7" t="s">
        <v>900</v>
      </c>
      <c r="G158" s="7" t="s">
        <v>175</v>
      </c>
      <c r="H158" s="7" t="s">
        <v>176</v>
      </c>
      <c r="I158" s="7"/>
    </row>
    <row r="159" customFormat="false" ht="15" hidden="false" customHeight="false" outlineLevel="0" collapsed="false">
      <c r="A159" s="7" t="s">
        <v>901</v>
      </c>
      <c r="B159" s="7" t="s">
        <v>902</v>
      </c>
      <c r="C159" s="7" t="s">
        <v>183</v>
      </c>
      <c r="D159" s="7" t="str">
        <f aca="false">INDEX(Familias!B$2:B$17,MATCH(C159,Familias!A$2:A$17,0))</f>
        <v>Servicios profesionales</v>
      </c>
      <c r="E159" s="7" t="s">
        <v>903</v>
      </c>
      <c r="F159" s="7" t="s">
        <v>904</v>
      </c>
      <c r="G159" s="7" t="s">
        <v>175</v>
      </c>
      <c r="H159" s="7" t="s">
        <v>176</v>
      </c>
      <c r="I159" s="7"/>
    </row>
    <row r="160" customFormat="false" ht="15" hidden="false" customHeight="false" outlineLevel="0" collapsed="false">
      <c r="A160" s="7" t="s">
        <v>905</v>
      </c>
      <c r="B160" s="7" t="s">
        <v>906</v>
      </c>
      <c r="C160" s="7" t="s">
        <v>183</v>
      </c>
      <c r="D160" s="7" t="str">
        <f aca="false">INDEX(Familias!B$2:B$17,MATCH(C160,Familias!A$2:A$17,0))</f>
        <v>Servicios profesionales</v>
      </c>
      <c r="E160" s="7" t="s">
        <v>907</v>
      </c>
      <c r="F160" s="7" t="s">
        <v>908</v>
      </c>
      <c r="G160" s="7" t="s">
        <v>175</v>
      </c>
      <c r="H160" s="7" t="s">
        <v>176</v>
      </c>
      <c r="I160" s="7"/>
    </row>
    <row r="161" customFormat="false" ht="15" hidden="false" customHeight="false" outlineLevel="0" collapsed="false">
      <c r="A161" s="7" t="s">
        <v>909</v>
      </c>
      <c r="B161" s="7" t="s">
        <v>910</v>
      </c>
      <c r="C161" s="7" t="s">
        <v>183</v>
      </c>
      <c r="D161" s="7" t="str">
        <f aca="false">INDEX(Familias!B$2:B$17,MATCH(C161,Familias!A$2:A$17,0))</f>
        <v>Servicios profesionales</v>
      </c>
      <c r="E161" s="7" t="s">
        <v>911</v>
      </c>
      <c r="F161" s="7" t="s">
        <v>912</v>
      </c>
      <c r="G161" s="7" t="s">
        <v>175</v>
      </c>
      <c r="H161" s="7" t="s">
        <v>176</v>
      </c>
      <c r="I161" s="7"/>
    </row>
    <row r="162" customFormat="false" ht="15" hidden="false" customHeight="false" outlineLevel="0" collapsed="false">
      <c r="A162" s="7" t="s">
        <v>913</v>
      </c>
      <c r="B162" s="7" t="s">
        <v>914</v>
      </c>
      <c r="C162" s="7" t="s">
        <v>183</v>
      </c>
      <c r="D162" s="7" t="str">
        <f aca="false">INDEX(Familias!B$2:B$17,MATCH(C162,Familias!A$2:A$17,0))</f>
        <v>Servicios profesionales</v>
      </c>
      <c r="E162" s="7" t="s">
        <v>915</v>
      </c>
      <c r="F162" s="7" t="s">
        <v>916</v>
      </c>
      <c r="G162" s="7" t="s">
        <v>175</v>
      </c>
      <c r="H162" s="7" t="s">
        <v>176</v>
      </c>
      <c r="I162" s="7"/>
    </row>
    <row r="163" customFormat="false" ht="15" hidden="false" customHeight="false" outlineLevel="0" collapsed="false">
      <c r="A163" s="7" t="s">
        <v>917</v>
      </c>
      <c r="B163" s="7" t="s">
        <v>918</v>
      </c>
      <c r="C163" s="7" t="s">
        <v>183</v>
      </c>
      <c r="D163" s="7" t="str">
        <f aca="false">INDEX(Familias!B$2:B$17,MATCH(C163,Familias!A$2:A$17,0))</f>
        <v>Servicios profesionales</v>
      </c>
      <c r="E163" s="7" t="s">
        <v>919</v>
      </c>
      <c r="F163" s="7" t="s">
        <v>920</v>
      </c>
      <c r="G163" s="7" t="s">
        <v>175</v>
      </c>
      <c r="H163" s="7" t="s">
        <v>176</v>
      </c>
      <c r="I163" s="7"/>
    </row>
    <row r="164" customFormat="false" ht="15" hidden="false" customHeight="false" outlineLevel="0" collapsed="false">
      <c r="A164" s="7" t="s">
        <v>921</v>
      </c>
      <c r="B164" s="7" t="s">
        <v>922</v>
      </c>
      <c r="C164" s="7" t="s">
        <v>183</v>
      </c>
      <c r="D164" s="7" t="str">
        <f aca="false">INDEX(Familias!B$2:B$17,MATCH(C164,Familias!A$2:A$17,0))</f>
        <v>Servicios profesionales</v>
      </c>
      <c r="E164" s="7" t="s">
        <v>923</v>
      </c>
      <c r="F164" s="7" t="s">
        <v>924</v>
      </c>
      <c r="G164" s="7" t="s">
        <v>175</v>
      </c>
      <c r="H164" s="7" t="s">
        <v>176</v>
      </c>
      <c r="I164" s="7"/>
    </row>
    <row r="165" customFormat="false" ht="15" hidden="false" customHeight="false" outlineLevel="0" collapsed="false">
      <c r="A165" s="7" t="s">
        <v>925</v>
      </c>
      <c r="B165" s="7" t="s">
        <v>926</v>
      </c>
      <c r="C165" s="7" t="s">
        <v>183</v>
      </c>
      <c r="D165" s="7" t="str">
        <f aca="false">INDEX(Familias!B$2:B$17,MATCH(C165,Familias!A$2:A$17,0))</f>
        <v>Servicios profesionales</v>
      </c>
      <c r="E165" s="7" t="s">
        <v>927</v>
      </c>
      <c r="F165" s="7" t="s">
        <v>928</v>
      </c>
      <c r="G165" s="7" t="s">
        <v>175</v>
      </c>
      <c r="H165" s="7" t="s">
        <v>176</v>
      </c>
      <c r="I165" s="7"/>
    </row>
    <row r="166" customFormat="false" ht="15" hidden="false" customHeight="false" outlineLevel="0" collapsed="false">
      <c r="A166" s="7" t="s">
        <v>929</v>
      </c>
      <c r="B166" s="7" t="s">
        <v>930</v>
      </c>
      <c r="C166" s="7" t="s">
        <v>183</v>
      </c>
      <c r="D166" s="7" t="str">
        <f aca="false">INDEX(Familias!B$2:B$17,MATCH(C166,Familias!A$2:A$17,0))</f>
        <v>Servicios profesionales</v>
      </c>
      <c r="E166" s="7" t="s">
        <v>931</v>
      </c>
      <c r="F166" s="7" t="s">
        <v>932</v>
      </c>
      <c r="G166" s="7" t="s">
        <v>175</v>
      </c>
      <c r="H166" s="7" t="s">
        <v>176</v>
      </c>
      <c r="I166" s="7"/>
    </row>
    <row r="167" customFormat="false" ht="15" hidden="false" customHeight="false" outlineLevel="0" collapsed="false">
      <c r="A167" s="7" t="s">
        <v>933</v>
      </c>
      <c r="B167" s="7" t="s">
        <v>934</v>
      </c>
      <c r="C167" s="7" t="s">
        <v>183</v>
      </c>
      <c r="D167" s="7" t="str">
        <f aca="false">INDEX(Familias!B$2:B$17,MATCH(C167,Familias!A$2:A$17,0))</f>
        <v>Servicios profesionales</v>
      </c>
      <c r="E167" s="7" t="s">
        <v>935</v>
      </c>
      <c r="F167" s="7" t="s">
        <v>936</v>
      </c>
      <c r="G167" s="7" t="s">
        <v>175</v>
      </c>
      <c r="H167" s="7" t="s">
        <v>176</v>
      </c>
      <c r="I167" s="7"/>
    </row>
    <row r="168" customFormat="false" ht="15" hidden="false" customHeight="false" outlineLevel="0" collapsed="false">
      <c r="A168" s="7" t="s">
        <v>937</v>
      </c>
      <c r="B168" s="7" t="s">
        <v>938</v>
      </c>
      <c r="C168" s="7" t="s">
        <v>183</v>
      </c>
      <c r="D168" s="7" t="str">
        <f aca="false">INDEX(Familias!B$2:B$17,MATCH(C168,Familias!A$2:A$17,0))</f>
        <v>Servicios profesionales</v>
      </c>
      <c r="E168" s="7" t="s">
        <v>939</v>
      </c>
      <c r="F168" s="7" t="s">
        <v>940</v>
      </c>
      <c r="G168" s="7" t="s">
        <v>175</v>
      </c>
      <c r="H168" s="7" t="s">
        <v>176</v>
      </c>
      <c r="I168" s="7"/>
    </row>
    <row r="169" customFormat="false" ht="15" hidden="false" customHeight="false" outlineLevel="0" collapsed="false">
      <c r="A169" s="7" t="s">
        <v>941</v>
      </c>
      <c r="B169" s="7" t="s">
        <v>942</v>
      </c>
      <c r="C169" s="7" t="s">
        <v>183</v>
      </c>
      <c r="D169" s="7" t="str">
        <f aca="false">INDEX(Familias!B$2:B$17,MATCH(C169,Familias!A$2:A$17,0))</f>
        <v>Servicios profesionales</v>
      </c>
      <c r="E169" s="7" t="s">
        <v>943</v>
      </c>
      <c r="F169" s="7" t="s">
        <v>944</v>
      </c>
      <c r="G169" s="7" t="s">
        <v>175</v>
      </c>
      <c r="H169" s="7" t="s">
        <v>176</v>
      </c>
      <c r="I169" s="7"/>
    </row>
    <row r="170" customFormat="false" ht="15" hidden="false" customHeight="false" outlineLevel="0" collapsed="false">
      <c r="A170" s="7" t="s">
        <v>945</v>
      </c>
      <c r="B170" s="7" t="s">
        <v>946</v>
      </c>
      <c r="C170" s="7" t="s">
        <v>183</v>
      </c>
      <c r="D170" s="7" t="str">
        <f aca="false">INDEX(Familias!B$2:B$17,MATCH(C170,Familias!A$2:A$17,0))</f>
        <v>Servicios profesionales</v>
      </c>
      <c r="E170" s="7" t="s">
        <v>947</v>
      </c>
      <c r="F170" s="7" t="s">
        <v>948</v>
      </c>
      <c r="G170" s="7" t="s">
        <v>175</v>
      </c>
      <c r="H170" s="7" t="s">
        <v>176</v>
      </c>
      <c r="I170" s="7"/>
    </row>
    <row r="171" customFormat="false" ht="15" hidden="false" customHeight="false" outlineLevel="0" collapsed="false">
      <c r="A171" s="7" t="s">
        <v>949</v>
      </c>
      <c r="B171" s="7" t="s">
        <v>950</v>
      </c>
      <c r="C171" s="7" t="s">
        <v>187</v>
      </c>
      <c r="D171" s="7" t="str">
        <f aca="false">INDEX(Familias!B$2:B$17,MATCH(C171,Familias!A$2:A$17,0))</f>
        <v>Mayoristas y distribuidoras</v>
      </c>
      <c r="E171" s="7" t="s">
        <v>951</v>
      </c>
      <c r="F171" s="7" t="s">
        <v>952</v>
      </c>
      <c r="G171" s="7" t="s">
        <v>135</v>
      </c>
      <c r="H171" s="7" t="s">
        <v>44</v>
      </c>
      <c r="I171" s="7"/>
    </row>
    <row r="172" customFormat="false" ht="15" hidden="false" customHeight="false" outlineLevel="0" collapsed="false">
      <c r="A172" s="7" t="s">
        <v>953</v>
      </c>
      <c r="B172" s="7" t="s">
        <v>954</v>
      </c>
      <c r="C172" s="7" t="s">
        <v>187</v>
      </c>
      <c r="D172" s="7" t="str">
        <f aca="false">INDEX(Familias!B$2:B$17,MATCH(C172,Familias!A$2:A$17,0))</f>
        <v>Mayoristas y distribuidoras</v>
      </c>
      <c r="E172" s="7" t="s">
        <v>955</v>
      </c>
      <c r="F172" s="7" t="s">
        <v>956</v>
      </c>
      <c r="G172" s="7" t="s">
        <v>135</v>
      </c>
      <c r="H172" s="7" t="s">
        <v>44</v>
      </c>
      <c r="I172" s="7"/>
    </row>
    <row r="173" customFormat="false" ht="15" hidden="false" customHeight="false" outlineLevel="0" collapsed="false">
      <c r="A173" s="7" t="s">
        <v>957</v>
      </c>
      <c r="B173" s="7" t="s">
        <v>958</v>
      </c>
      <c r="C173" s="7" t="s">
        <v>187</v>
      </c>
      <c r="D173" s="7" t="str">
        <f aca="false">INDEX(Familias!B$2:B$17,MATCH(C173,Familias!A$2:A$17,0))</f>
        <v>Mayoristas y distribuidoras</v>
      </c>
      <c r="E173" s="7" t="s">
        <v>959</v>
      </c>
      <c r="F173" s="7" t="s">
        <v>960</v>
      </c>
      <c r="G173" s="7" t="s">
        <v>135</v>
      </c>
      <c r="H173" s="7" t="s">
        <v>44</v>
      </c>
      <c r="I173" s="7"/>
    </row>
    <row r="174" customFormat="false" ht="15" hidden="false" customHeight="false" outlineLevel="0" collapsed="false">
      <c r="A174" s="7" t="s">
        <v>961</v>
      </c>
      <c r="B174" s="7" t="s">
        <v>962</v>
      </c>
      <c r="C174" s="7" t="s">
        <v>187</v>
      </c>
      <c r="D174" s="7" t="str">
        <f aca="false">INDEX(Familias!B$2:B$17,MATCH(C174,Familias!A$2:A$17,0))</f>
        <v>Mayoristas y distribuidoras</v>
      </c>
      <c r="E174" s="7" t="s">
        <v>963</v>
      </c>
      <c r="F174" s="7" t="s">
        <v>964</v>
      </c>
      <c r="G174" s="7" t="s">
        <v>135</v>
      </c>
      <c r="H174" s="7" t="s">
        <v>44</v>
      </c>
      <c r="I174" s="7"/>
    </row>
    <row r="175" customFormat="false" ht="15" hidden="false" customHeight="false" outlineLevel="0" collapsed="false">
      <c r="A175" s="7" t="s">
        <v>965</v>
      </c>
      <c r="B175" s="7" t="s">
        <v>966</v>
      </c>
      <c r="C175" s="7" t="s">
        <v>187</v>
      </c>
      <c r="D175" s="7" t="str">
        <f aca="false">INDEX(Familias!B$2:B$17,MATCH(C175,Familias!A$2:A$17,0))</f>
        <v>Mayoristas y distribuidoras</v>
      </c>
      <c r="E175" s="7" t="s">
        <v>967</v>
      </c>
      <c r="F175" s="7" t="s">
        <v>968</v>
      </c>
      <c r="G175" s="7" t="s">
        <v>135</v>
      </c>
      <c r="H175" s="7" t="s">
        <v>44</v>
      </c>
      <c r="I175" s="7"/>
    </row>
    <row r="176" customFormat="false" ht="15" hidden="false" customHeight="false" outlineLevel="0" collapsed="false">
      <c r="A176" s="7" t="s">
        <v>969</v>
      </c>
      <c r="B176" s="7" t="s">
        <v>970</v>
      </c>
      <c r="C176" s="7" t="s">
        <v>187</v>
      </c>
      <c r="D176" s="7" t="str">
        <f aca="false">INDEX(Familias!B$2:B$17,MATCH(C176,Familias!A$2:A$17,0))</f>
        <v>Mayoristas y distribuidoras</v>
      </c>
      <c r="E176" s="7" t="s">
        <v>971</v>
      </c>
      <c r="F176" s="7" t="s">
        <v>972</v>
      </c>
      <c r="G176" s="7" t="s">
        <v>135</v>
      </c>
      <c r="H176" s="7" t="s">
        <v>44</v>
      </c>
      <c r="I176" s="7"/>
    </row>
    <row r="177" customFormat="false" ht="15" hidden="false" customHeight="false" outlineLevel="0" collapsed="false">
      <c r="A177" s="7" t="s">
        <v>973</v>
      </c>
      <c r="B177" s="7" t="s">
        <v>974</v>
      </c>
      <c r="C177" s="7" t="s">
        <v>187</v>
      </c>
      <c r="D177" s="7" t="str">
        <f aca="false">INDEX(Familias!B$2:B$17,MATCH(C177,Familias!A$2:A$17,0))</f>
        <v>Mayoristas y distribuidoras</v>
      </c>
      <c r="E177" s="7" t="s">
        <v>975</v>
      </c>
      <c r="F177" s="7" t="s">
        <v>976</v>
      </c>
      <c r="G177" s="7" t="s">
        <v>135</v>
      </c>
      <c r="H177" s="7" t="s">
        <v>44</v>
      </c>
      <c r="I177" s="7"/>
    </row>
    <row r="178" customFormat="false" ht="15" hidden="false" customHeight="false" outlineLevel="0" collapsed="false">
      <c r="A178" s="7" t="s">
        <v>977</v>
      </c>
      <c r="B178" s="7" t="s">
        <v>978</v>
      </c>
      <c r="C178" s="7" t="s">
        <v>187</v>
      </c>
      <c r="D178" s="7" t="str">
        <f aca="false">INDEX(Familias!B$2:B$17,MATCH(C178,Familias!A$2:A$17,0))</f>
        <v>Mayoristas y distribuidoras</v>
      </c>
      <c r="E178" s="7" t="s">
        <v>979</v>
      </c>
      <c r="F178" s="7" t="s">
        <v>980</v>
      </c>
      <c r="G178" s="7" t="s">
        <v>135</v>
      </c>
      <c r="H178" s="7" t="s">
        <v>44</v>
      </c>
      <c r="I178" s="7" t="s">
        <v>981</v>
      </c>
    </row>
    <row r="179" customFormat="false" ht="15" hidden="false" customHeight="false" outlineLevel="0" collapsed="false">
      <c r="A179" s="7" t="s">
        <v>982</v>
      </c>
      <c r="B179" s="7" t="s">
        <v>983</v>
      </c>
      <c r="C179" s="7" t="s">
        <v>187</v>
      </c>
      <c r="D179" s="7" t="str">
        <f aca="false">INDEX(Familias!B$2:B$17,MATCH(C179,Familias!A$2:A$17,0))</f>
        <v>Mayoristas y distribuidoras</v>
      </c>
      <c r="E179" s="7" t="s">
        <v>984</v>
      </c>
      <c r="F179" s="7" t="s">
        <v>985</v>
      </c>
      <c r="G179" s="7" t="s">
        <v>135</v>
      </c>
      <c r="H179" s="7" t="s">
        <v>44</v>
      </c>
      <c r="I179" s="7" t="s">
        <v>986</v>
      </c>
    </row>
    <row r="180" customFormat="false" ht="15" hidden="false" customHeight="false" outlineLevel="0" collapsed="false">
      <c r="A180" s="7" t="s">
        <v>987</v>
      </c>
      <c r="B180" s="7" t="s">
        <v>988</v>
      </c>
      <c r="C180" s="7" t="s">
        <v>187</v>
      </c>
      <c r="D180" s="7" t="str">
        <f aca="false">INDEX(Familias!B$2:B$17,MATCH(C180,Familias!A$2:A$17,0))</f>
        <v>Mayoristas y distribuidoras</v>
      </c>
      <c r="E180" s="7" t="s">
        <v>989</v>
      </c>
      <c r="F180" s="7" t="s">
        <v>990</v>
      </c>
      <c r="G180" s="7" t="s">
        <v>135</v>
      </c>
      <c r="H180" s="7" t="s">
        <v>44</v>
      </c>
      <c r="I180" s="7"/>
    </row>
    <row r="181" customFormat="false" ht="15" hidden="false" customHeight="false" outlineLevel="0" collapsed="false">
      <c r="A181" s="7" t="s">
        <v>991</v>
      </c>
      <c r="B181" s="7" t="s">
        <v>992</v>
      </c>
      <c r="C181" s="7" t="s">
        <v>187</v>
      </c>
      <c r="D181" s="7" t="str">
        <f aca="false">INDEX(Familias!B$2:B$17,MATCH(C181,Familias!A$2:A$17,0))</f>
        <v>Mayoristas y distribuidoras</v>
      </c>
      <c r="E181" s="7" t="s">
        <v>993</v>
      </c>
      <c r="F181" s="7" t="s">
        <v>994</v>
      </c>
      <c r="G181" s="7" t="s">
        <v>135</v>
      </c>
      <c r="H181" s="7" t="s">
        <v>405</v>
      </c>
      <c r="I181" s="7"/>
    </row>
    <row r="182" customFormat="false" ht="15" hidden="false" customHeight="false" outlineLevel="0" collapsed="false">
      <c r="A182" s="7" t="s">
        <v>995</v>
      </c>
      <c r="B182" s="7" t="s">
        <v>996</v>
      </c>
      <c r="C182" s="7" t="s">
        <v>187</v>
      </c>
      <c r="D182" s="7" t="str">
        <f aca="false">INDEX(Familias!B$2:B$17,MATCH(C182,Familias!A$2:A$17,0))</f>
        <v>Mayoristas y distribuidoras</v>
      </c>
      <c r="E182" s="7" t="s">
        <v>997</v>
      </c>
      <c r="F182" s="7" t="s">
        <v>998</v>
      </c>
      <c r="G182" s="7" t="s">
        <v>135</v>
      </c>
      <c r="H182" s="7" t="s">
        <v>44</v>
      </c>
      <c r="I182" s="7"/>
    </row>
    <row r="183" customFormat="false" ht="15" hidden="false" customHeight="false" outlineLevel="0" collapsed="false">
      <c r="A183" s="7" t="s">
        <v>999</v>
      </c>
      <c r="B183" s="7" t="s">
        <v>1000</v>
      </c>
      <c r="C183" s="7" t="s">
        <v>192</v>
      </c>
      <c r="D183" s="7" t="str">
        <f aca="false">INDEX(Familias!B$2:B$17,MATCH(C183,Familias!A$2:A$17,0))</f>
        <v>Agro y acopio</v>
      </c>
      <c r="E183" s="7" t="s">
        <v>1001</v>
      </c>
      <c r="F183" s="7" t="s">
        <v>1002</v>
      </c>
      <c r="G183" s="7" t="s">
        <v>135</v>
      </c>
      <c r="H183" s="7" t="s">
        <v>195</v>
      </c>
      <c r="I183" s="7"/>
    </row>
    <row r="184" customFormat="false" ht="15" hidden="false" customHeight="false" outlineLevel="0" collapsed="false">
      <c r="A184" s="7" t="s">
        <v>1003</v>
      </c>
      <c r="B184" s="7" t="s">
        <v>1004</v>
      </c>
      <c r="C184" s="7" t="s">
        <v>192</v>
      </c>
      <c r="D184" s="7" t="str">
        <f aca="false">INDEX(Familias!B$2:B$17,MATCH(C184,Familias!A$2:A$17,0))</f>
        <v>Agro y acopio</v>
      </c>
      <c r="E184" s="7" t="s">
        <v>1005</v>
      </c>
      <c r="F184" s="7" t="s">
        <v>1006</v>
      </c>
      <c r="G184" s="7" t="s">
        <v>135</v>
      </c>
      <c r="H184" s="7" t="s">
        <v>195</v>
      </c>
      <c r="I184" s="7"/>
    </row>
    <row r="185" customFormat="false" ht="15" hidden="false" customHeight="false" outlineLevel="0" collapsed="false">
      <c r="A185" s="7" t="s">
        <v>1007</v>
      </c>
      <c r="B185" s="7" t="s">
        <v>1008</v>
      </c>
      <c r="C185" s="7" t="s">
        <v>192</v>
      </c>
      <c r="D185" s="7" t="str">
        <f aca="false">INDEX(Familias!B$2:B$17,MATCH(C185,Familias!A$2:A$17,0))</f>
        <v>Agro y acopio</v>
      </c>
      <c r="E185" s="7" t="s">
        <v>1009</v>
      </c>
      <c r="F185" s="7" t="s">
        <v>1010</v>
      </c>
      <c r="G185" s="7" t="s">
        <v>135</v>
      </c>
      <c r="H185" s="7" t="s">
        <v>195</v>
      </c>
      <c r="I185" s="7"/>
    </row>
    <row r="186" customFormat="false" ht="23.85" hidden="false" customHeight="false" outlineLevel="0" collapsed="false">
      <c r="A186" s="7" t="s">
        <v>1011</v>
      </c>
      <c r="B186" s="7" t="s">
        <v>1012</v>
      </c>
      <c r="C186" s="7" t="s">
        <v>192</v>
      </c>
      <c r="D186" s="7" t="str">
        <f aca="false">INDEX(Familias!B$2:B$17,MATCH(C186,Familias!A$2:A$17,0))</f>
        <v>Agro y acopio</v>
      </c>
      <c r="E186" s="7" t="s">
        <v>1013</v>
      </c>
      <c r="F186" s="7" t="s">
        <v>1014</v>
      </c>
      <c r="G186" s="7" t="s">
        <v>135</v>
      </c>
      <c r="H186" s="7" t="s">
        <v>195</v>
      </c>
      <c r="I186" s="7" t="s">
        <v>1015</v>
      </c>
    </row>
    <row r="187" customFormat="false" ht="23.85" hidden="false" customHeight="false" outlineLevel="0" collapsed="false">
      <c r="A187" s="7" t="s">
        <v>1016</v>
      </c>
      <c r="B187" s="7" t="s">
        <v>1017</v>
      </c>
      <c r="C187" s="7" t="s">
        <v>192</v>
      </c>
      <c r="D187" s="7" t="str">
        <f aca="false">INDEX(Familias!B$2:B$17,MATCH(C187,Familias!A$2:A$17,0))</f>
        <v>Agro y acopio</v>
      </c>
      <c r="E187" s="7" t="s">
        <v>1018</v>
      </c>
      <c r="F187" s="7" t="s">
        <v>1019</v>
      </c>
      <c r="G187" s="7" t="s">
        <v>135</v>
      </c>
      <c r="H187" s="7" t="s">
        <v>195</v>
      </c>
      <c r="I187" s="7" t="s">
        <v>1020</v>
      </c>
    </row>
    <row r="188" customFormat="false" ht="23.85" hidden="false" customHeight="false" outlineLevel="0" collapsed="false">
      <c r="A188" s="7" t="s">
        <v>1021</v>
      </c>
      <c r="B188" s="7" t="s">
        <v>1022</v>
      </c>
      <c r="C188" s="7" t="s">
        <v>192</v>
      </c>
      <c r="D188" s="7" t="str">
        <f aca="false">INDEX(Familias!B$2:B$17,MATCH(C188,Familias!A$2:A$17,0))</f>
        <v>Agro y acopio</v>
      </c>
      <c r="E188" s="7" t="s">
        <v>1023</v>
      </c>
      <c r="F188" s="7" t="s">
        <v>1024</v>
      </c>
      <c r="G188" s="7" t="s">
        <v>135</v>
      </c>
      <c r="H188" s="7" t="s">
        <v>195</v>
      </c>
      <c r="I188" s="7" t="s">
        <v>1015</v>
      </c>
    </row>
    <row r="189" customFormat="false" ht="15" hidden="false" customHeight="false" outlineLevel="0" collapsed="false">
      <c r="A189" s="7" t="s">
        <v>1025</v>
      </c>
      <c r="B189" s="7" t="s">
        <v>1026</v>
      </c>
      <c r="C189" s="7" t="s">
        <v>192</v>
      </c>
      <c r="D189" s="7" t="str">
        <f aca="false">INDEX(Familias!B$2:B$17,MATCH(C189,Familias!A$2:A$17,0))</f>
        <v>Agro y acopio</v>
      </c>
      <c r="E189" s="7" t="s">
        <v>1027</v>
      </c>
      <c r="F189" s="7" t="s">
        <v>1028</v>
      </c>
      <c r="G189" s="7" t="s">
        <v>135</v>
      </c>
      <c r="H189" s="7" t="s">
        <v>195</v>
      </c>
      <c r="I189" s="7" t="s">
        <v>1029</v>
      </c>
    </row>
    <row r="190" customFormat="false" ht="15" hidden="false" customHeight="false" outlineLevel="0" collapsed="false">
      <c r="A190" s="7" t="s">
        <v>1030</v>
      </c>
      <c r="B190" s="7" t="s">
        <v>1031</v>
      </c>
      <c r="C190" s="7" t="s">
        <v>192</v>
      </c>
      <c r="D190" s="7" t="str">
        <f aca="false">INDEX(Familias!B$2:B$17,MATCH(C190,Familias!A$2:A$17,0))</f>
        <v>Agro y acopio</v>
      </c>
      <c r="E190" s="7" t="s">
        <v>1032</v>
      </c>
      <c r="F190" s="7" t="s">
        <v>1033</v>
      </c>
      <c r="G190" s="7" t="s">
        <v>135</v>
      </c>
      <c r="H190" s="7" t="s">
        <v>195</v>
      </c>
      <c r="I190" s="7"/>
    </row>
    <row r="191" customFormat="false" ht="15" hidden="false" customHeight="false" outlineLevel="0" collapsed="false">
      <c r="A191" s="7" t="s">
        <v>1034</v>
      </c>
      <c r="B191" s="7" t="s">
        <v>1035</v>
      </c>
      <c r="C191" s="7" t="s">
        <v>192</v>
      </c>
      <c r="D191" s="7" t="str">
        <f aca="false">INDEX(Familias!B$2:B$17,MATCH(C191,Familias!A$2:A$17,0))</f>
        <v>Agro y acopio</v>
      </c>
      <c r="E191" s="7" t="s">
        <v>1036</v>
      </c>
      <c r="F191" s="7" t="s">
        <v>1037</v>
      </c>
      <c r="G191" s="7" t="s">
        <v>135</v>
      </c>
      <c r="H191" s="7" t="s">
        <v>195</v>
      </c>
      <c r="I191" s="7" t="s">
        <v>1038</v>
      </c>
    </row>
    <row r="192" customFormat="false" ht="15" hidden="false" customHeight="false" outlineLevel="0" collapsed="false">
      <c r="A192" s="7" t="s">
        <v>1039</v>
      </c>
      <c r="B192" s="7" t="s">
        <v>1040</v>
      </c>
      <c r="C192" s="7" t="s">
        <v>192</v>
      </c>
      <c r="D192" s="7" t="str">
        <f aca="false">INDEX(Familias!B$2:B$17,MATCH(C192,Familias!A$2:A$17,0))</f>
        <v>Agro y acopio</v>
      </c>
      <c r="E192" s="7" t="s">
        <v>1041</v>
      </c>
      <c r="F192" s="7" t="s">
        <v>1042</v>
      </c>
      <c r="G192" s="7" t="s">
        <v>135</v>
      </c>
      <c r="H192" s="7" t="s">
        <v>453</v>
      </c>
      <c r="I192" s="7"/>
    </row>
    <row r="193" customFormat="false" ht="15" hidden="false" customHeight="false" outlineLevel="0" collapsed="false">
      <c r="A193" s="7" t="s">
        <v>1043</v>
      </c>
      <c r="B193" s="7" t="s">
        <v>1044</v>
      </c>
      <c r="C193" s="7" t="s">
        <v>192</v>
      </c>
      <c r="D193" s="7" t="str">
        <f aca="false">INDEX(Familias!B$2:B$17,MATCH(C193,Familias!A$2:A$17,0))</f>
        <v>Agro y acopio</v>
      </c>
      <c r="E193" s="7" t="s">
        <v>1045</v>
      </c>
      <c r="F193" s="7" t="s">
        <v>1046</v>
      </c>
      <c r="G193" s="7" t="s">
        <v>135</v>
      </c>
      <c r="H193" s="7" t="s">
        <v>44</v>
      </c>
      <c r="I193" s="7"/>
    </row>
    <row r="194" customFormat="false" ht="15" hidden="false" customHeight="false" outlineLevel="0" collapsed="false">
      <c r="A194" s="7" t="s">
        <v>1047</v>
      </c>
      <c r="B194" s="7" t="s">
        <v>1048</v>
      </c>
      <c r="C194" s="7" t="s">
        <v>192</v>
      </c>
      <c r="D194" s="7" t="str">
        <f aca="false">INDEX(Familias!B$2:B$17,MATCH(C194,Familias!A$2:A$17,0))</f>
        <v>Agro y acopio</v>
      </c>
      <c r="E194" s="7" t="s">
        <v>1049</v>
      </c>
      <c r="F194" s="7" t="s">
        <v>1050</v>
      </c>
      <c r="G194" s="7" t="s">
        <v>135</v>
      </c>
      <c r="H194" s="7" t="s">
        <v>195</v>
      </c>
      <c r="I194" s="7"/>
    </row>
    <row r="195" customFormat="false" ht="15" hidden="false" customHeight="false" outlineLevel="0" collapsed="false">
      <c r="A195" s="7" t="s">
        <v>1051</v>
      </c>
      <c r="B195" s="7" t="s">
        <v>1052</v>
      </c>
      <c r="C195" s="7" t="s">
        <v>192</v>
      </c>
      <c r="D195" s="7" t="str">
        <f aca="false">INDEX(Familias!B$2:B$17,MATCH(C195,Familias!A$2:A$17,0))</f>
        <v>Agro y acopio</v>
      </c>
      <c r="E195" s="7" t="s">
        <v>1053</v>
      </c>
      <c r="F195" s="7" t="s">
        <v>1054</v>
      </c>
      <c r="G195" s="7" t="s">
        <v>135</v>
      </c>
      <c r="H195" s="7" t="s">
        <v>195</v>
      </c>
      <c r="I195" s="7"/>
    </row>
    <row r="196" customFormat="false" ht="15" hidden="false" customHeight="false" outlineLevel="0" collapsed="false">
      <c r="A196" s="7" t="s">
        <v>1055</v>
      </c>
      <c r="B196" s="7" t="s">
        <v>1056</v>
      </c>
      <c r="C196" s="7" t="s">
        <v>198</v>
      </c>
      <c r="D196" s="7" t="str">
        <f aca="false">INDEX(Familias!B$2:B$17,MATCH(C196,Familias!A$2:A$17,0))</f>
        <v>Deporte, educación y membresías</v>
      </c>
      <c r="E196" s="7" t="s">
        <v>1057</v>
      </c>
      <c r="F196" s="7" t="s">
        <v>1058</v>
      </c>
      <c r="G196" s="7" t="s">
        <v>201</v>
      </c>
      <c r="H196" s="7" t="s">
        <v>202</v>
      </c>
      <c r="I196" s="7"/>
    </row>
    <row r="197" customFormat="false" ht="15" hidden="false" customHeight="false" outlineLevel="0" collapsed="false">
      <c r="A197" s="7" t="s">
        <v>1059</v>
      </c>
      <c r="B197" s="7" t="s">
        <v>1060</v>
      </c>
      <c r="C197" s="7" t="s">
        <v>198</v>
      </c>
      <c r="D197" s="7" t="str">
        <f aca="false">INDEX(Familias!B$2:B$17,MATCH(C197,Familias!A$2:A$17,0))</f>
        <v>Deporte, educación y membresías</v>
      </c>
      <c r="E197" s="7" t="s">
        <v>1061</v>
      </c>
      <c r="F197" s="7" t="s">
        <v>1062</v>
      </c>
      <c r="G197" s="7" t="s">
        <v>201</v>
      </c>
      <c r="H197" s="7" t="s">
        <v>202</v>
      </c>
      <c r="I197" s="7"/>
    </row>
    <row r="198" customFormat="false" ht="15" hidden="false" customHeight="false" outlineLevel="0" collapsed="false">
      <c r="A198" s="7" t="s">
        <v>1063</v>
      </c>
      <c r="B198" s="7" t="s">
        <v>1064</v>
      </c>
      <c r="C198" s="7" t="s">
        <v>198</v>
      </c>
      <c r="D198" s="7" t="str">
        <f aca="false">INDEX(Familias!B$2:B$17,MATCH(C198,Familias!A$2:A$17,0))</f>
        <v>Deporte, educación y membresías</v>
      </c>
      <c r="E198" s="7" t="s">
        <v>1065</v>
      </c>
      <c r="F198" s="7" t="s">
        <v>1066</v>
      </c>
      <c r="G198" s="7" t="s">
        <v>201</v>
      </c>
      <c r="H198" s="7" t="s">
        <v>202</v>
      </c>
      <c r="I198" s="7"/>
    </row>
    <row r="199" customFormat="false" ht="15" hidden="false" customHeight="false" outlineLevel="0" collapsed="false">
      <c r="A199" s="7" t="s">
        <v>1067</v>
      </c>
      <c r="B199" s="7" t="s">
        <v>1068</v>
      </c>
      <c r="C199" s="7" t="s">
        <v>198</v>
      </c>
      <c r="D199" s="7" t="str">
        <f aca="false">INDEX(Familias!B$2:B$17,MATCH(C199,Familias!A$2:A$17,0))</f>
        <v>Deporte, educación y membresías</v>
      </c>
      <c r="E199" s="7" t="s">
        <v>1069</v>
      </c>
      <c r="F199" s="7" t="s">
        <v>1070</v>
      </c>
      <c r="G199" s="7" t="s">
        <v>201</v>
      </c>
      <c r="H199" s="7" t="s">
        <v>202</v>
      </c>
      <c r="I199" s="7"/>
    </row>
    <row r="200" customFormat="false" ht="15" hidden="false" customHeight="false" outlineLevel="0" collapsed="false">
      <c r="A200" s="7" t="s">
        <v>1071</v>
      </c>
      <c r="B200" s="7" t="s">
        <v>1072</v>
      </c>
      <c r="C200" s="7" t="s">
        <v>198</v>
      </c>
      <c r="D200" s="7" t="str">
        <f aca="false">INDEX(Familias!B$2:B$17,MATCH(C200,Familias!A$2:A$17,0))</f>
        <v>Deporte, educación y membresías</v>
      </c>
      <c r="E200" s="7" t="s">
        <v>1073</v>
      </c>
      <c r="F200" s="7" t="s">
        <v>1074</v>
      </c>
      <c r="G200" s="7" t="s">
        <v>201</v>
      </c>
      <c r="H200" s="7" t="s">
        <v>202</v>
      </c>
      <c r="I200" s="7"/>
    </row>
    <row r="201" customFormat="false" ht="15" hidden="false" customHeight="false" outlineLevel="0" collapsed="false">
      <c r="A201" s="7" t="s">
        <v>1075</v>
      </c>
      <c r="B201" s="7" t="s">
        <v>1076</v>
      </c>
      <c r="C201" s="7" t="s">
        <v>198</v>
      </c>
      <c r="D201" s="7" t="str">
        <f aca="false">INDEX(Familias!B$2:B$17,MATCH(C201,Familias!A$2:A$17,0))</f>
        <v>Deporte, educación y membresías</v>
      </c>
      <c r="E201" s="7" t="s">
        <v>1077</v>
      </c>
      <c r="F201" s="7" t="s">
        <v>1078</v>
      </c>
      <c r="G201" s="7" t="s">
        <v>201</v>
      </c>
      <c r="H201" s="7" t="s">
        <v>202</v>
      </c>
      <c r="I201" s="7"/>
    </row>
    <row r="202" customFormat="false" ht="15" hidden="false" customHeight="false" outlineLevel="0" collapsed="false">
      <c r="A202" s="7" t="s">
        <v>1079</v>
      </c>
      <c r="B202" s="7" t="s">
        <v>1080</v>
      </c>
      <c r="C202" s="7" t="s">
        <v>198</v>
      </c>
      <c r="D202" s="7" t="str">
        <f aca="false">INDEX(Familias!B$2:B$17,MATCH(C202,Familias!A$2:A$17,0))</f>
        <v>Deporte, educación y membresías</v>
      </c>
      <c r="E202" s="7" t="s">
        <v>1081</v>
      </c>
      <c r="F202" s="7" t="s">
        <v>1082</v>
      </c>
      <c r="G202" s="7" t="s">
        <v>201</v>
      </c>
      <c r="H202" s="7" t="s">
        <v>202</v>
      </c>
      <c r="I202" s="7"/>
    </row>
    <row r="203" customFormat="false" ht="15" hidden="false" customHeight="false" outlineLevel="0" collapsed="false">
      <c r="A203" s="7" t="s">
        <v>1083</v>
      </c>
      <c r="B203" s="7" t="s">
        <v>1084</v>
      </c>
      <c r="C203" s="7" t="s">
        <v>198</v>
      </c>
      <c r="D203" s="7" t="str">
        <f aca="false">INDEX(Familias!B$2:B$17,MATCH(C203,Familias!A$2:A$17,0))</f>
        <v>Deporte, educación y membresías</v>
      </c>
      <c r="E203" s="7" t="s">
        <v>1085</v>
      </c>
      <c r="F203" s="7" t="s">
        <v>1086</v>
      </c>
      <c r="G203" s="7" t="s">
        <v>201</v>
      </c>
      <c r="H203" s="7" t="s">
        <v>202</v>
      </c>
      <c r="I203" s="7"/>
    </row>
    <row r="204" customFormat="false" ht="15" hidden="false" customHeight="false" outlineLevel="0" collapsed="false">
      <c r="A204" s="7" t="s">
        <v>1087</v>
      </c>
      <c r="B204" s="7" t="s">
        <v>1088</v>
      </c>
      <c r="C204" s="7" t="s">
        <v>198</v>
      </c>
      <c r="D204" s="7" t="str">
        <f aca="false">INDEX(Familias!B$2:B$17,MATCH(C204,Familias!A$2:A$17,0))</f>
        <v>Deporte, educación y membresías</v>
      </c>
      <c r="E204" s="7" t="s">
        <v>1089</v>
      </c>
      <c r="F204" s="7" t="s">
        <v>1090</v>
      </c>
      <c r="G204" s="7" t="s">
        <v>201</v>
      </c>
      <c r="H204" s="7" t="s">
        <v>202</v>
      </c>
      <c r="I204" s="7"/>
    </row>
    <row r="205" customFormat="false" ht="15" hidden="false" customHeight="false" outlineLevel="0" collapsed="false">
      <c r="A205" s="7" t="s">
        <v>1091</v>
      </c>
      <c r="B205" s="7" t="s">
        <v>1092</v>
      </c>
      <c r="C205" s="7" t="s">
        <v>198</v>
      </c>
      <c r="D205" s="7" t="str">
        <f aca="false">INDEX(Familias!B$2:B$17,MATCH(C205,Familias!A$2:A$17,0))</f>
        <v>Deporte, educación y membresías</v>
      </c>
      <c r="E205" s="7" t="s">
        <v>1093</v>
      </c>
      <c r="F205" s="7" t="s">
        <v>1094</v>
      </c>
      <c r="G205" s="7" t="s">
        <v>201</v>
      </c>
      <c r="H205" s="7" t="s">
        <v>1095</v>
      </c>
      <c r="I205" s="7" t="s">
        <v>1096</v>
      </c>
    </row>
    <row r="206" customFormat="false" ht="15" hidden="false" customHeight="false" outlineLevel="0" collapsed="false">
      <c r="A206" s="7" t="s">
        <v>1097</v>
      </c>
      <c r="B206" s="7" t="s">
        <v>1098</v>
      </c>
      <c r="C206" s="7" t="s">
        <v>198</v>
      </c>
      <c r="D206" s="7" t="str">
        <f aca="false">INDEX(Familias!B$2:B$17,MATCH(C206,Familias!A$2:A$17,0))</f>
        <v>Deporte, educación y membresías</v>
      </c>
      <c r="E206" s="7" t="s">
        <v>1099</v>
      </c>
      <c r="F206" s="7" t="s">
        <v>1100</v>
      </c>
      <c r="G206" s="7" t="s">
        <v>201</v>
      </c>
      <c r="H206" s="7" t="s">
        <v>202</v>
      </c>
      <c r="I206" s="7"/>
    </row>
    <row r="207" customFormat="false" ht="15" hidden="false" customHeight="false" outlineLevel="0" collapsed="false">
      <c r="A207" s="7" t="s">
        <v>1101</v>
      </c>
      <c r="B207" s="7" t="s">
        <v>1102</v>
      </c>
      <c r="C207" s="7" t="s">
        <v>205</v>
      </c>
      <c r="D207" s="7" t="str">
        <f aca="false">INDEX(Familias!B$2:B$17,MATCH(C207,Familias!A$2:A$17,0))</f>
        <v>Hospedaje, eventos y alquiler</v>
      </c>
      <c r="E207" s="7" t="s">
        <v>1103</v>
      </c>
      <c r="F207" s="7" t="s">
        <v>1104</v>
      </c>
      <c r="G207" s="7" t="s">
        <v>175</v>
      </c>
      <c r="H207" s="7" t="s">
        <v>208</v>
      </c>
      <c r="I207" s="7"/>
    </row>
    <row r="208" customFormat="false" ht="15" hidden="false" customHeight="false" outlineLevel="0" collapsed="false">
      <c r="A208" s="7" t="s">
        <v>1105</v>
      </c>
      <c r="B208" s="7" t="s">
        <v>1106</v>
      </c>
      <c r="C208" s="7" t="s">
        <v>205</v>
      </c>
      <c r="D208" s="7" t="str">
        <f aca="false">INDEX(Familias!B$2:B$17,MATCH(C208,Familias!A$2:A$17,0))</f>
        <v>Hospedaje, eventos y alquiler</v>
      </c>
      <c r="E208" s="7" t="s">
        <v>1107</v>
      </c>
      <c r="F208" s="7" t="s">
        <v>1108</v>
      </c>
      <c r="G208" s="7" t="s">
        <v>175</v>
      </c>
      <c r="H208" s="7" t="s">
        <v>208</v>
      </c>
      <c r="I208" s="7"/>
    </row>
    <row r="209" customFormat="false" ht="15" hidden="false" customHeight="false" outlineLevel="0" collapsed="false">
      <c r="A209" s="7" t="s">
        <v>1109</v>
      </c>
      <c r="B209" s="7" t="s">
        <v>1110</v>
      </c>
      <c r="C209" s="7" t="s">
        <v>205</v>
      </c>
      <c r="D209" s="7" t="str">
        <f aca="false">INDEX(Familias!B$2:B$17,MATCH(C209,Familias!A$2:A$17,0))</f>
        <v>Hospedaje, eventos y alquiler</v>
      </c>
      <c r="E209" s="7" t="s">
        <v>1111</v>
      </c>
      <c r="F209" s="7" t="s">
        <v>1112</v>
      </c>
      <c r="G209" s="7" t="s">
        <v>175</v>
      </c>
      <c r="H209" s="7" t="s">
        <v>208</v>
      </c>
      <c r="I209" s="7"/>
    </row>
    <row r="210" customFormat="false" ht="15" hidden="false" customHeight="false" outlineLevel="0" collapsed="false">
      <c r="A210" s="7" t="s">
        <v>1113</v>
      </c>
      <c r="B210" s="7" t="s">
        <v>1114</v>
      </c>
      <c r="C210" s="7" t="s">
        <v>205</v>
      </c>
      <c r="D210" s="7" t="str">
        <f aca="false">INDEX(Familias!B$2:B$17,MATCH(C210,Familias!A$2:A$17,0))</f>
        <v>Hospedaje, eventos y alquiler</v>
      </c>
      <c r="E210" s="7" t="s">
        <v>1115</v>
      </c>
      <c r="F210" s="7" t="s">
        <v>1116</v>
      </c>
      <c r="G210" s="7" t="s">
        <v>175</v>
      </c>
      <c r="H210" s="7" t="s">
        <v>1117</v>
      </c>
      <c r="I210" s="7"/>
    </row>
    <row r="211" customFormat="false" ht="15" hidden="false" customHeight="false" outlineLevel="0" collapsed="false">
      <c r="A211" s="7" t="s">
        <v>1118</v>
      </c>
      <c r="B211" s="7" t="s">
        <v>1119</v>
      </c>
      <c r="C211" s="7" t="s">
        <v>205</v>
      </c>
      <c r="D211" s="7" t="str">
        <f aca="false">INDEX(Familias!B$2:B$17,MATCH(C211,Familias!A$2:A$17,0))</f>
        <v>Hospedaje, eventos y alquiler</v>
      </c>
      <c r="E211" s="7" t="s">
        <v>1120</v>
      </c>
      <c r="F211" s="7" t="s">
        <v>1121</v>
      </c>
      <c r="G211" s="7" t="s">
        <v>175</v>
      </c>
      <c r="H211" s="7" t="s">
        <v>208</v>
      </c>
      <c r="I211" s="7"/>
    </row>
    <row r="212" customFormat="false" ht="15" hidden="false" customHeight="false" outlineLevel="0" collapsed="false">
      <c r="A212" s="7" t="s">
        <v>1122</v>
      </c>
      <c r="B212" s="7" t="s">
        <v>1123</v>
      </c>
      <c r="C212" s="7" t="s">
        <v>205</v>
      </c>
      <c r="D212" s="7" t="str">
        <f aca="false">INDEX(Familias!B$2:B$17,MATCH(C212,Familias!A$2:A$17,0))</f>
        <v>Hospedaje, eventos y alquiler</v>
      </c>
      <c r="E212" s="7" t="s">
        <v>1124</v>
      </c>
      <c r="F212" s="7" t="s">
        <v>1125</v>
      </c>
      <c r="G212" s="7" t="s">
        <v>175</v>
      </c>
      <c r="H212" s="7" t="s">
        <v>208</v>
      </c>
      <c r="I212" s="7"/>
    </row>
    <row r="213" customFormat="false" ht="15" hidden="false" customHeight="false" outlineLevel="0" collapsed="false">
      <c r="A213" s="7" t="s">
        <v>1126</v>
      </c>
      <c r="B213" s="7" t="s">
        <v>1127</v>
      </c>
      <c r="C213" s="7" t="s">
        <v>205</v>
      </c>
      <c r="D213" s="7" t="str">
        <f aca="false">INDEX(Familias!B$2:B$17,MATCH(C213,Familias!A$2:A$17,0))</f>
        <v>Hospedaje, eventos y alquiler</v>
      </c>
      <c r="E213" s="7" t="s">
        <v>1128</v>
      </c>
      <c r="F213" s="7" t="s">
        <v>1129</v>
      </c>
      <c r="G213" s="7" t="s">
        <v>175</v>
      </c>
      <c r="H213" s="7" t="s">
        <v>1117</v>
      </c>
      <c r="I213" s="7"/>
    </row>
    <row r="214" customFormat="false" ht="15" hidden="false" customHeight="false" outlineLevel="0" collapsed="false">
      <c r="A214" s="7" t="s">
        <v>1130</v>
      </c>
      <c r="B214" s="7" t="s">
        <v>1131</v>
      </c>
      <c r="C214" s="7" t="s">
        <v>205</v>
      </c>
      <c r="D214" s="7" t="str">
        <f aca="false">INDEX(Familias!B$2:B$17,MATCH(C214,Familias!A$2:A$17,0))</f>
        <v>Hospedaje, eventos y alquiler</v>
      </c>
      <c r="E214" s="7" t="s">
        <v>1132</v>
      </c>
      <c r="F214" s="7" t="s">
        <v>1133</v>
      </c>
      <c r="G214" s="7" t="s">
        <v>175</v>
      </c>
      <c r="H214" s="7" t="s">
        <v>1117</v>
      </c>
      <c r="I214" s="7"/>
    </row>
    <row r="215" customFormat="false" ht="15" hidden="false" customHeight="false" outlineLevel="0" collapsed="false">
      <c r="A215" s="7" t="s">
        <v>1134</v>
      </c>
      <c r="B215" s="7" t="s">
        <v>1135</v>
      </c>
      <c r="C215" s="7" t="s">
        <v>205</v>
      </c>
      <c r="D215" s="7" t="str">
        <f aca="false">INDEX(Familias!B$2:B$17,MATCH(C215,Familias!A$2:A$17,0))</f>
        <v>Hospedaje, eventos y alquiler</v>
      </c>
      <c r="E215" s="7" t="s">
        <v>1136</v>
      </c>
      <c r="F215" s="7" t="s">
        <v>1137</v>
      </c>
      <c r="G215" s="7" t="s">
        <v>175</v>
      </c>
      <c r="H215" s="7" t="s">
        <v>1117</v>
      </c>
      <c r="I215" s="7"/>
    </row>
    <row r="216" customFormat="false" ht="15" hidden="false" customHeight="false" outlineLevel="0" collapsed="false">
      <c r="A216" s="7" t="s">
        <v>1138</v>
      </c>
      <c r="B216" s="7" t="s">
        <v>1139</v>
      </c>
      <c r="C216" s="7" t="s">
        <v>205</v>
      </c>
      <c r="D216" s="7" t="str">
        <f aca="false">INDEX(Familias!B$2:B$17,MATCH(C216,Familias!A$2:A$17,0))</f>
        <v>Hospedaje, eventos y alquiler</v>
      </c>
      <c r="E216" s="7" t="s">
        <v>1140</v>
      </c>
      <c r="F216" s="7" t="s">
        <v>1141</v>
      </c>
      <c r="G216" s="7" t="s">
        <v>175</v>
      </c>
      <c r="H216" s="7" t="s">
        <v>208</v>
      </c>
      <c r="I216" s="7"/>
    </row>
    <row r="217" customFormat="false" ht="15" hidden="false" customHeight="false" outlineLevel="0" collapsed="false">
      <c r="A217" s="7" t="s">
        <v>1142</v>
      </c>
      <c r="B217" s="7" t="s">
        <v>1143</v>
      </c>
      <c r="C217" s="7" t="s">
        <v>205</v>
      </c>
      <c r="D217" s="7" t="str">
        <f aca="false">INDEX(Familias!B$2:B$17,MATCH(C217,Familias!A$2:A$17,0))</f>
        <v>Hospedaje, eventos y alquiler</v>
      </c>
      <c r="E217" s="7" t="s">
        <v>1144</v>
      </c>
      <c r="F217" s="7" t="s">
        <v>1145</v>
      </c>
      <c r="G217" s="7" t="s">
        <v>175</v>
      </c>
      <c r="H217" s="7" t="s">
        <v>1095</v>
      </c>
      <c r="I21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6" t="s">
        <v>242</v>
      </c>
      <c r="B1" s="6" t="s">
        <v>1146</v>
      </c>
      <c r="C1" s="6" t="s">
        <v>1147</v>
      </c>
      <c r="D1" s="6" t="s">
        <v>1148</v>
      </c>
    </row>
    <row r="2" customFormat="false" ht="15" hidden="false" customHeight="false" outlineLevel="0" collapsed="false">
      <c r="A2" s="7" t="s">
        <v>430</v>
      </c>
      <c r="B2" s="7" t="s">
        <v>1149</v>
      </c>
      <c r="C2" s="7" t="s">
        <v>1150</v>
      </c>
      <c r="D2" s="7" t="s">
        <v>129</v>
      </c>
    </row>
    <row r="3" customFormat="false" ht="15" hidden="false" customHeight="false" outlineLevel="0" collapsed="false">
      <c r="A3" s="7" t="s">
        <v>430</v>
      </c>
      <c r="B3" s="7" t="s">
        <v>1149</v>
      </c>
      <c r="C3" s="7" t="s">
        <v>1151</v>
      </c>
      <c r="D3" s="7" t="s">
        <v>129</v>
      </c>
    </row>
    <row r="4" customFormat="false" ht="15" hidden="false" customHeight="false" outlineLevel="0" collapsed="false">
      <c r="A4" s="7" t="s">
        <v>430</v>
      </c>
      <c r="B4" s="7" t="s">
        <v>1149</v>
      </c>
      <c r="C4" s="7" t="s">
        <v>1152</v>
      </c>
      <c r="D4" s="7" t="s">
        <v>129</v>
      </c>
    </row>
    <row r="5" customFormat="false" ht="15" hidden="false" customHeight="false" outlineLevel="0" collapsed="false">
      <c r="A5" s="7" t="s">
        <v>430</v>
      </c>
      <c r="B5" s="7" t="s">
        <v>1149</v>
      </c>
      <c r="C5" s="7" t="s">
        <v>1153</v>
      </c>
      <c r="D5" s="7" t="s">
        <v>129</v>
      </c>
    </row>
    <row r="6" customFormat="false" ht="15" hidden="false" customHeight="false" outlineLevel="0" collapsed="false">
      <c r="A6" s="7" t="s">
        <v>430</v>
      </c>
      <c r="B6" s="7" t="s">
        <v>1154</v>
      </c>
      <c r="C6" s="7" t="s">
        <v>1155</v>
      </c>
      <c r="D6" s="7" t="s">
        <v>129</v>
      </c>
    </row>
    <row r="7" customFormat="false" ht="15" hidden="false" customHeight="false" outlineLevel="0" collapsed="false">
      <c r="A7" s="7" t="s">
        <v>430</v>
      </c>
      <c r="B7" s="7" t="s">
        <v>1154</v>
      </c>
      <c r="C7" s="7" t="s">
        <v>1156</v>
      </c>
      <c r="D7" s="7" t="s">
        <v>129</v>
      </c>
    </row>
    <row r="8" customFormat="false" ht="15" hidden="false" customHeight="false" outlineLevel="0" collapsed="false">
      <c r="A8" s="7" t="s">
        <v>430</v>
      </c>
      <c r="B8" s="7" t="s">
        <v>1157</v>
      </c>
      <c r="C8" s="7" t="s">
        <v>1158</v>
      </c>
      <c r="D8" s="7" t="s">
        <v>129</v>
      </c>
    </row>
    <row r="9" customFormat="false" ht="15" hidden="false" customHeight="false" outlineLevel="0" collapsed="false">
      <c r="A9" s="7" t="s">
        <v>430</v>
      </c>
      <c r="B9" s="7" t="s">
        <v>1157</v>
      </c>
      <c r="C9" s="7" t="s">
        <v>1159</v>
      </c>
      <c r="D9" s="7" t="s">
        <v>453</v>
      </c>
    </row>
    <row r="10" customFormat="false" ht="15" hidden="false" customHeight="false" outlineLevel="0" collapsed="false">
      <c r="A10" s="7" t="s">
        <v>430</v>
      </c>
      <c r="B10" s="7" t="s">
        <v>1160</v>
      </c>
      <c r="C10" s="7" t="s">
        <v>1161</v>
      </c>
      <c r="D10" s="7" t="s">
        <v>129</v>
      </c>
    </row>
    <row r="11" customFormat="false" ht="15" hidden="false" customHeight="false" outlineLevel="0" collapsed="false">
      <c r="A11" s="7" t="s">
        <v>430</v>
      </c>
      <c r="B11" s="7" t="s">
        <v>1160</v>
      </c>
      <c r="C11" s="7" t="s">
        <v>1162</v>
      </c>
      <c r="D11" s="7" t="s">
        <v>129</v>
      </c>
    </row>
    <row r="12" customFormat="false" ht="15" hidden="false" customHeight="false" outlineLevel="0" collapsed="false">
      <c r="A12" s="7" t="s">
        <v>430</v>
      </c>
      <c r="B12" s="7" t="s">
        <v>1163</v>
      </c>
      <c r="C12" s="7" t="s">
        <v>1164</v>
      </c>
      <c r="D12" s="7" t="s">
        <v>129</v>
      </c>
    </row>
    <row r="13" customFormat="false" ht="15" hidden="false" customHeight="false" outlineLevel="0" collapsed="false">
      <c r="A13" s="7" t="s">
        <v>430</v>
      </c>
      <c r="B13" s="7" t="s">
        <v>377</v>
      </c>
      <c r="C13" s="7" t="s">
        <v>1165</v>
      </c>
      <c r="D13" s="7" t="s">
        <v>129</v>
      </c>
    </row>
    <row r="14" customFormat="false" ht="15" hidden="false" customHeight="false" outlineLevel="0" collapsed="false">
      <c r="A14" s="7" t="s">
        <v>253</v>
      </c>
      <c r="B14" s="7" t="s">
        <v>1166</v>
      </c>
      <c r="C14" s="7" t="s">
        <v>1167</v>
      </c>
      <c r="D14" s="7" t="s">
        <v>1168</v>
      </c>
    </row>
    <row r="15" customFormat="false" ht="15" hidden="false" customHeight="false" outlineLevel="0" collapsed="false">
      <c r="A15" s="7" t="s">
        <v>253</v>
      </c>
      <c r="B15" s="7" t="s">
        <v>1166</v>
      </c>
      <c r="C15" s="7" t="s">
        <v>1169</v>
      </c>
      <c r="D15" s="7" t="s">
        <v>1168</v>
      </c>
    </row>
    <row r="16" customFormat="false" ht="15" hidden="false" customHeight="false" outlineLevel="0" collapsed="false">
      <c r="A16" s="7" t="s">
        <v>253</v>
      </c>
      <c r="B16" s="7" t="s">
        <v>1166</v>
      </c>
      <c r="C16" s="7" t="s">
        <v>1170</v>
      </c>
      <c r="D16" s="7" t="s">
        <v>1168</v>
      </c>
    </row>
    <row r="17" customFormat="false" ht="15" hidden="false" customHeight="false" outlineLevel="0" collapsed="false">
      <c r="A17" s="7" t="s">
        <v>253</v>
      </c>
      <c r="B17" s="7" t="s">
        <v>1171</v>
      </c>
      <c r="C17" s="7" t="s">
        <v>1172</v>
      </c>
      <c r="D17" s="7" t="s">
        <v>1168</v>
      </c>
    </row>
    <row r="18" customFormat="false" ht="15" hidden="false" customHeight="false" outlineLevel="0" collapsed="false">
      <c r="A18" s="7" t="s">
        <v>253</v>
      </c>
      <c r="B18" s="7" t="s">
        <v>1171</v>
      </c>
      <c r="C18" s="7" t="s">
        <v>1173</v>
      </c>
      <c r="D18" s="7" t="s">
        <v>1168</v>
      </c>
    </row>
    <row r="19" customFormat="false" ht="15" hidden="false" customHeight="false" outlineLevel="0" collapsed="false">
      <c r="A19" s="7" t="s">
        <v>253</v>
      </c>
      <c r="B19" s="7" t="s">
        <v>1174</v>
      </c>
      <c r="C19" s="7" t="s">
        <v>1175</v>
      </c>
      <c r="D19" s="7" t="s">
        <v>1176</v>
      </c>
    </row>
    <row r="20" customFormat="false" ht="15" hidden="false" customHeight="false" outlineLevel="0" collapsed="false">
      <c r="A20" s="7" t="s">
        <v>253</v>
      </c>
      <c r="B20" s="7" t="s">
        <v>1174</v>
      </c>
      <c r="C20" s="7" t="s">
        <v>1177</v>
      </c>
      <c r="D20" s="7" t="s">
        <v>1176</v>
      </c>
    </row>
    <row r="21" customFormat="false" ht="15" hidden="false" customHeight="false" outlineLevel="0" collapsed="false">
      <c r="A21" s="7" t="s">
        <v>253</v>
      </c>
      <c r="B21" s="7" t="s">
        <v>1154</v>
      </c>
      <c r="C21" s="7" t="s">
        <v>1178</v>
      </c>
      <c r="D21" s="7" t="s">
        <v>129</v>
      </c>
    </row>
    <row r="22" customFormat="false" ht="15" hidden="false" customHeight="false" outlineLevel="0" collapsed="false">
      <c r="A22" s="7" t="s">
        <v>253</v>
      </c>
      <c r="B22" s="7" t="s">
        <v>1154</v>
      </c>
      <c r="C22" s="7" t="s">
        <v>1179</v>
      </c>
      <c r="D22" s="7" t="s">
        <v>1180</v>
      </c>
    </row>
    <row r="23" customFormat="false" ht="15" hidden="false" customHeight="false" outlineLevel="0" collapsed="false">
      <c r="A23" s="7" t="s">
        <v>253</v>
      </c>
      <c r="B23" s="7" t="s">
        <v>1154</v>
      </c>
      <c r="C23" s="7" t="s">
        <v>1181</v>
      </c>
      <c r="D23" s="7" t="s">
        <v>129</v>
      </c>
    </row>
    <row r="24" customFormat="false" ht="15" hidden="false" customHeight="false" outlineLevel="0" collapsed="false">
      <c r="A24" s="7" t="s">
        <v>740</v>
      </c>
      <c r="B24" s="7" t="s">
        <v>1182</v>
      </c>
      <c r="C24" s="7" t="s">
        <v>1183</v>
      </c>
      <c r="D24" s="7" t="s">
        <v>176</v>
      </c>
    </row>
    <row r="25" customFormat="false" ht="15" hidden="false" customHeight="false" outlineLevel="0" collapsed="false">
      <c r="A25" s="7" t="s">
        <v>740</v>
      </c>
      <c r="B25" s="7" t="s">
        <v>1182</v>
      </c>
      <c r="C25" s="7" t="s">
        <v>1184</v>
      </c>
      <c r="D25" s="7" t="s">
        <v>176</v>
      </c>
    </row>
    <row r="26" customFormat="false" ht="15" hidden="false" customHeight="false" outlineLevel="0" collapsed="false">
      <c r="A26" s="7" t="s">
        <v>740</v>
      </c>
      <c r="B26" s="7" t="s">
        <v>1185</v>
      </c>
      <c r="C26" s="7" t="s">
        <v>1186</v>
      </c>
      <c r="D26" s="7" t="s">
        <v>176</v>
      </c>
    </row>
    <row r="27" customFormat="false" ht="15" hidden="false" customHeight="false" outlineLevel="0" collapsed="false">
      <c r="A27" s="7" t="s">
        <v>740</v>
      </c>
      <c r="B27" s="7" t="s">
        <v>1185</v>
      </c>
      <c r="C27" s="7" t="s">
        <v>1187</v>
      </c>
      <c r="D27" s="7" t="s">
        <v>176</v>
      </c>
    </row>
    <row r="28" customFormat="false" ht="15" hidden="false" customHeight="false" outlineLevel="0" collapsed="false">
      <c r="A28" s="7" t="s">
        <v>740</v>
      </c>
      <c r="B28" s="7" t="s">
        <v>1188</v>
      </c>
      <c r="C28" s="7" t="s">
        <v>1189</v>
      </c>
      <c r="D28" s="7" t="s">
        <v>176</v>
      </c>
    </row>
    <row r="29" customFormat="false" ht="15" hidden="false" customHeight="false" outlineLevel="0" collapsed="false">
      <c r="A29" s="7" t="s">
        <v>740</v>
      </c>
      <c r="B29" s="7" t="s">
        <v>1188</v>
      </c>
      <c r="C29" s="7" t="s">
        <v>1190</v>
      </c>
      <c r="D29" s="7" t="s">
        <v>176</v>
      </c>
    </row>
    <row r="30" customFormat="false" ht="15" hidden="false" customHeight="false" outlineLevel="0" collapsed="false">
      <c r="A30" s="7" t="s">
        <v>740</v>
      </c>
      <c r="B30" s="7" t="s">
        <v>1191</v>
      </c>
      <c r="C30" s="7" t="s">
        <v>1192</v>
      </c>
      <c r="D30" s="7" t="s">
        <v>176</v>
      </c>
    </row>
    <row r="31" customFormat="false" ht="15" hidden="false" customHeight="false" outlineLevel="0" collapsed="false">
      <c r="A31" s="7" t="s">
        <v>740</v>
      </c>
      <c r="B31" s="7" t="s">
        <v>1191</v>
      </c>
      <c r="C31" s="7" t="s">
        <v>1193</v>
      </c>
      <c r="D31" s="7" t="s">
        <v>176</v>
      </c>
    </row>
    <row r="32" customFormat="false" ht="15" hidden="false" customHeight="false" outlineLevel="0" collapsed="false">
      <c r="A32" s="7" t="s">
        <v>740</v>
      </c>
      <c r="B32" s="7" t="s">
        <v>135</v>
      </c>
      <c r="C32" s="7" t="s">
        <v>1194</v>
      </c>
      <c r="D32" s="7" t="s">
        <v>129</v>
      </c>
    </row>
    <row r="33" customFormat="false" ht="15" hidden="false" customHeight="false" outlineLevel="0" collapsed="false">
      <c r="A33" s="7" t="s">
        <v>740</v>
      </c>
      <c r="B33" s="7" t="s">
        <v>135</v>
      </c>
      <c r="C33" s="7" t="s">
        <v>1195</v>
      </c>
      <c r="D33" s="7" t="s">
        <v>129</v>
      </c>
    </row>
    <row r="34" customFormat="false" ht="15" hidden="false" customHeight="false" outlineLevel="0" collapsed="false">
      <c r="A34" s="7" t="s">
        <v>1000</v>
      </c>
      <c r="B34" s="7" t="s">
        <v>1196</v>
      </c>
      <c r="C34" s="7" t="s">
        <v>1197</v>
      </c>
      <c r="D34" s="7" t="s">
        <v>1198</v>
      </c>
    </row>
    <row r="35" customFormat="false" ht="15" hidden="false" customHeight="false" outlineLevel="0" collapsed="false">
      <c r="A35" s="7" t="s">
        <v>1000</v>
      </c>
      <c r="B35" s="7" t="s">
        <v>1196</v>
      </c>
      <c r="C35" s="7" t="s">
        <v>1199</v>
      </c>
      <c r="D35" s="7" t="s">
        <v>1198</v>
      </c>
    </row>
    <row r="36" customFormat="false" ht="15" hidden="false" customHeight="false" outlineLevel="0" collapsed="false">
      <c r="A36" s="7" t="s">
        <v>1000</v>
      </c>
      <c r="B36" s="7" t="s">
        <v>1196</v>
      </c>
      <c r="C36" s="7" t="s">
        <v>1200</v>
      </c>
      <c r="D36" s="7" t="s">
        <v>1198</v>
      </c>
    </row>
    <row r="37" customFormat="false" ht="15" hidden="false" customHeight="false" outlineLevel="0" collapsed="false">
      <c r="A37" s="7" t="s">
        <v>1000</v>
      </c>
      <c r="B37" s="7" t="s">
        <v>1201</v>
      </c>
      <c r="C37" s="7" t="s">
        <v>1202</v>
      </c>
      <c r="D37" s="7" t="s">
        <v>414</v>
      </c>
    </row>
    <row r="38" customFormat="false" ht="15" hidden="false" customHeight="false" outlineLevel="0" collapsed="false">
      <c r="A38" s="7" t="s">
        <v>1000</v>
      </c>
      <c r="B38" s="7" t="s">
        <v>1201</v>
      </c>
      <c r="C38" s="7" t="s">
        <v>1203</v>
      </c>
      <c r="D38" s="7" t="s">
        <v>414</v>
      </c>
    </row>
    <row r="39" customFormat="false" ht="15" hidden="false" customHeight="false" outlineLevel="0" collapsed="false">
      <c r="A39" s="7" t="s">
        <v>1000</v>
      </c>
      <c r="B39" s="7" t="s">
        <v>1204</v>
      </c>
      <c r="C39" s="7" t="s">
        <v>1205</v>
      </c>
      <c r="D39" s="7" t="s">
        <v>405</v>
      </c>
    </row>
    <row r="40" customFormat="false" ht="15" hidden="false" customHeight="false" outlineLevel="0" collapsed="false">
      <c r="A40" s="7" t="s">
        <v>1000</v>
      </c>
      <c r="B40" s="7" t="s">
        <v>1206</v>
      </c>
      <c r="C40" s="7" t="s">
        <v>1207</v>
      </c>
      <c r="D40" s="7" t="s">
        <v>414</v>
      </c>
    </row>
    <row r="41" customFormat="false" ht="15" hidden="false" customHeight="false" outlineLevel="0" collapsed="false">
      <c r="A41" s="7" t="s">
        <v>1000</v>
      </c>
      <c r="B41" s="7" t="s">
        <v>1208</v>
      </c>
      <c r="C41" s="7" t="s">
        <v>1209</v>
      </c>
      <c r="D41" s="7" t="s">
        <v>1198</v>
      </c>
    </row>
    <row r="42" customFormat="false" ht="15" hidden="false" customHeight="false" outlineLevel="0" collapsed="false">
      <c r="A42" s="7" t="s">
        <v>1000</v>
      </c>
      <c r="B42" s="7" t="s">
        <v>1208</v>
      </c>
      <c r="C42" s="7" t="s">
        <v>1210</v>
      </c>
      <c r="D42" s="7" t="s">
        <v>1198</v>
      </c>
    </row>
    <row r="43" customFormat="false" ht="15" hidden="false" customHeight="false" outlineLevel="0" collapsed="false">
      <c r="A43" s="7" t="s">
        <v>1000</v>
      </c>
      <c r="B43" s="7" t="s">
        <v>1211</v>
      </c>
      <c r="C43" s="7" t="s">
        <v>1212</v>
      </c>
      <c r="D43" s="7" t="s">
        <v>129</v>
      </c>
    </row>
    <row r="44" customFormat="false" ht="15" hidden="false" customHeight="false" outlineLevel="0" collapsed="false">
      <c r="A44" s="7" t="s">
        <v>1000</v>
      </c>
      <c r="B44" s="7" t="s">
        <v>1211</v>
      </c>
      <c r="C44" s="7" t="s">
        <v>1213</v>
      </c>
      <c r="D44" s="7" t="s">
        <v>129</v>
      </c>
    </row>
    <row r="45" customFormat="false" ht="15" hidden="false" customHeight="false" outlineLevel="0" collapsed="false">
      <c r="A45" s="7" t="s">
        <v>816</v>
      </c>
      <c r="B45" s="7" t="s">
        <v>1214</v>
      </c>
      <c r="C45" s="7" t="s">
        <v>1215</v>
      </c>
      <c r="D45" s="7" t="s">
        <v>176</v>
      </c>
    </row>
    <row r="46" customFormat="false" ht="15" hidden="false" customHeight="false" outlineLevel="0" collapsed="false">
      <c r="A46" s="7" t="s">
        <v>816</v>
      </c>
      <c r="B46" s="7" t="s">
        <v>1214</v>
      </c>
      <c r="C46" s="7" t="s">
        <v>1216</v>
      </c>
      <c r="D46" s="7" t="s">
        <v>176</v>
      </c>
    </row>
    <row r="47" customFormat="false" ht="15" hidden="false" customHeight="false" outlineLevel="0" collapsed="false">
      <c r="A47" s="7" t="s">
        <v>816</v>
      </c>
      <c r="B47" s="7" t="s">
        <v>1214</v>
      </c>
      <c r="C47" s="7" t="s">
        <v>1217</v>
      </c>
      <c r="D47" s="7" t="s">
        <v>176</v>
      </c>
    </row>
    <row r="48" customFormat="false" ht="15" hidden="false" customHeight="false" outlineLevel="0" collapsed="false">
      <c r="A48" s="7" t="s">
        <v>816</v>
      </c>
      <c r="B48" s="7" t="s">
        <v>1214</v>
      </c>
      <c r="C48" s="7" t="s">
        <v>1218</v>
      </c>
      <c r="D48" s="7" t="s">
        <v>176</v>
      </c>
    </row>
    <row r="49" customFormat="false" ht="15" hidden="false" customHeight="false" outlineLevel="0" collapsed="false">
      <c r="A49" s="7" t="s">
        <v>816</v>
      </c>
      <c r="B49" s="7" t="s">
        <v>1219</v>
      </c>
      <c r="C49" s="7" t="s">
        <v>1220</v>
      </c>
      <c r="D49" s="7" t="s">
        <v>1221</v>
      </c>
    </row>
    <row r="50" customFormat="false" ht="15" hidden="false" customHeight="false" outlineLevel="0" collapsed="false">
      <c r="A50" s="7" t="s">
        <v>816</v>
      </c>
      <c r="B50" s="7" t="s">
        <v>1219</v>
      </c>
      <c r="C50" s="7" t="s">
        <v>1222</v>
      </c>
      <c r="D50" s="7" t="s">
        <v>129</v>
      </c>
    </row>
    <row r="51" customFormat="false" ht="15" hidden="false" customHeight="false" outlineLevel="0" collapsed="false">
      <c r="A51" s="7" t="s">
        <v>816</v>
      </c>
      <c r="B51" s="7" t="s">
        <v>1219</v>
      </c>
      <c r="C51" s="7" t="s">
        <v>1223</v>
      </c>
      <c r="D51" s="7" t="s">
        <v>129</v>
      </c>
    </row>
    <row r="52" customFormat="false" ht="15" hidden="false" customHeight="false" outlineLevel="0" collapsed="false">
      <c r="A52" s="7" t="s">
        <v>816</v>
      </c>
      <c r="B52" s="7" t="s">
        <v>1219</v>
      </c>
      <c r="C52" s="7" t="s">
        <v>1224</v>
      </c>
      <c r="D52" s="7" t="s">
        <v>1221</v>
      </c>
    </row>
    <row r="53" customFormat="false" ht="15" hidden="false" customHeight="false" outlineLevel="0" collapsed="false">
      <c r="A53" s="7" t="s">
        <v>816</v>
      </c>
      <c r="B53" s="7" t="s">
        <v>1225</v>
      </c>
      <c r="C53" s="7" t="s">
        <v>1226</v>
      </c>
      <c r="D53" s="7" t="s">
        <v>583</v>
      </c>
    </row>
    <row r="54" customFormat="false" ht="15" hidden="false" customHeight="false" outlineLevel="0" collapsed="false">
      <c r="A54" s="7" t="s">
        <v>816</v>
      </c>
      <c r="B54" s="7" t="s">
        <v>1225</v>
      </c>
      <c r="C54" s="7" t="s">
        <v>1227</v>
      </c>
      <c r="D54" s="7" t="s">
        <v>129</v>
      </c>
    </row>
    <row r="55" customFormat="false" ht="15" hidden="false" customHeight="false" outlineLevel="0" collapsed="false">
      <c r="A55" s="7" t="s">
        <v>497</v>
      </c>
      <c r="B55" s="7" t="s">
        <v>1228</v>
      </c>
      <c r="C55" s="7" t="s">
        <v>1229</v>
      </c>
      <c r="D55" s="7" t="s">
        <v>1230</v>
      </c>
    </row>
    <row r="56" customFormat="false" ht="15" hidden="false" customHeight="false" outlineLevel="0" collapsed="false">
      <c r="A56" s="7" t="s">
        <v>497</v>
      </c>
      <c r="B56" s="7" t="s">
        <v>1228</v>
      </c>
      <c r="C56" s="7" t="s">
        <v>1231</v>
      </c>
      <c r="D56" s="7" t="s">
        <v>1232</v>
      </c>
    </row>
    <row r="57" customFormat="false" ht="15" hidden="false" customHeight="false" outlineLevel="0" collapsed="false">
      <c r="A57" s="7" t="s">
        <v>497</v>
      </c>
      <c r="B57" s="7" t="s">
        <v>1228</v>
      </c>
      <c r="C57" s="7" t="s">
        <v>1233</v>
      </c>
      <c r="D57" s="7" t="s">
        <v>1234</v>
      </c>
    </row>
    <row r="58" customFormat="false" ht="15" hidden="false" customHeight="false" outlineLevel="0" collapsed="false">
      <c r="A58" s="7" t="s">
        <v>497</v>
      </c>
      <c r="B58" s="7" t="s">
        <v>1235</v>
      </c>
      <c r="C58" s="7" t="s">
        <v>1236</v>
      </c>
      <c r="D58" s="7" t="s">
        <v>1237</v>
      </c>
    </row>
    <row r="59" customFormat="false" ht="15" hidden="false" customHeight="false" outlineLevel="0" collapsed="false">
      <c r="A59" s="7" t="s">
        <v>497</v>
      </c>
      <c r="B59" s="7" t="s">
        <v>1235</v>
      </c>
      <c r="C59" s="7" t="s">
        <v>1238</v>
      </c>
      <c r="D59" s="7" t="s">
        <v>1239</v>
      </c>
    </row>
    <row r="60" customFormat="false" ht="15" hidden="false" customHeight="false" outlineLevel="0" collapsed="false">
      <c r="A60" s="7" t="s">
        <v>497</v>
      </c>
      <c r="B60" s="7" t="s">
        <v>1235</v>
      </c>
      <c r="C60" s="7" t="s">
        <v>1240</v>
      </c>
      <c r="D60" s="7" t="s">
        <v>1234</v>
      </c>
    </row>
    <row r="61" customFormat="false" ht="15" hidden="false" customHeight="false" outlineLevel="0" collapsed="false">
      <c r="A61" s="7" t="s">
        <v>497</v>
      </c>
      <c r="B61" s="7" t="s">
        <v>1241</v>
      </c>
      <c r="C61" s="7" t="s">
        <v>1242</v>
      </c>
      <c r="D61" s="7" t="s">
        <v>1243</v>
      </c>
    </row>
    <row r="62" customFormat="false" ht="15" hidden="false" customHeight="false" outlineLevel="0" collapsed="false">
      <c r="A62" s="7" t="s">
        <v>497</v>
      </c>
      <c r="B62" s="7" t="s">
        <v>1244</v>
      </c>
      <c r="C62" s="7" t="s">
        <v>1245</v>
      </c>
      <c r="D62" s="7" t="s">
        <v>129</v>
      </c>
    </row>
    <row r="63" customFormat="false" ht="15" hidden="false" customHeight="false" outlineLevel="0" collapsed="false">
      <c r="A63" s="7" t="s">
        <v>497</v>
      </c>
      <c r="B63" s="7" t="s">
        <v>1244</v>
      </c>
      <c r="C63" s="7" t="s">
        <v>1246</v>
      </c>
      <c r="D63" s="7" t="s">
        <v>129</v>
      </c>
    </row>
    <row r="65" customFormat="false" ht="15" hidden="false" customHeight="false" outlineLevel="0" collapsed="false">
      <c r="A65" s="5" t="s">
        <v>1247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72"/>
  </cols>
  <sheetData>
    <row r="1" customFormat="false" ht="15" hidden="false" customHeight="false" outlineLevel="0" collapsed="false">
      <c r="A1" s="6" t="s">
        <v>1248</v>
      </c>
      <c r="B1" s="6" t="s">
        <v>1249</v>
      </c>
      <c r="C1" s="6" t="s">
        <v>1250</v>
      </c>
      <c r="D1" s="6" t="s">
        <v>1251</v>
      </c>
    </row>
    <row r="2" customFormat="false" ht="15" hidden="false" customHeight="false" outlineLevel="0" collapsed="false">
      <c r="A2" s="7" t="n">
        <v>1</v>
      </c>
      <c r="B2" s="7" t="s">
        <v>1252</v>
      </c>
      <c r="C2" s="7" t="s">
        <v>1253</v>
      </c>
      <c r="D2" s="7" t="s">
        <v>1254</v>
      </c>
    </row>
    <row r="3" customFormat="false" ht="15" hidden="false" customHeight="false" outlineLevel="0" collapsed="false">
      <c r="A3" s="7" t="n">
        <v>2</v>
      </c>
      <c r="B3" s="7" t="s">
        <v>1255</v>
      </c>
      <c r="C3" s="7" t="s">
        <v>1256</v>
      </c>
      <c r="D3" s="7" t="s">
        <v>1257</v>
      </c>
    </row>
    <row r="4" customFormat="false" ht="23.85" hidden="false" customHeight="false" outlineLevel="0" collapsed="false">
      <c r="A4" s="7" t="n">
        <v>3</v>
      </c>
      <c r="B4" s="7" t="s">
        <v>242</v>
      </c>
      <c r="C4" s="7" t="s">
        <v>1258</v>
      </c>
      <c r="D4" s="7" t="s">
        <v>1259</v>
      </c>
    </row>
    <row r="5" customFormat="false" ht="15" hidden="false" customHeight="false" outlineLevel="0" collapsed="false">
      <c r="A5" s="7" t="n">
        <v>4</v>
      </c>
      <c r="B5" s="7" t="s">
        <v>1260</v>
      </c>
      <c r="C5" s="7" t="s">
        <v>1261</v>
      </c>
      <c r="D5" s="7" t="s">
        <v>1262</v>
      </c>
    </row>
    <row r="6" customFormat="false" ht="23.85" hidden="false" customHeight="false" outlineLevel="0" collapsed="false">
      <c r="A6" s="7" t="n">
        <v>5</v>
      </c>
      <c r="B6" s="7" t="s">
        <v>1263</v>
      </c>
      <c r="C6" s="7" t="s">
        <v>1264</v>
      </c>
      <c r="D6" s="7" t="s">
        <v>1265</v>
      </c>
    </row>
    <row r="7" customFormat="false" ht="23.85" hidden="false" customHeight="false" outlineLevel="0" collapsed="false">
      <c r="A7" s="7" t="n">
        <v>6</v>
      </c>
      <c r="B7" s="7" t="s">
        <v>1266</v>
      </c>
      <c r="C7" s="7" t="s">
        <v>1267</v>
      </c>
      <c r="D7" s="7" t="s">
        <v>1268</v>
      </c>
    </row>
    <row r="8" customFormat="false" ht="15" hidden="false" customHeight="false" outlineLevel="0" collapsed="false">
      <c r="A8" s="7" t="n">
        <v>7</v>
      </c>
      <c r="B8" s="7" t="s">
        <v>1269</v>
      </c>
      <c r="C8" s="7" t="s">
        <v>1267</v>
      </c>
      <c r="D8" s="7" t="s">
        <v>1270</v>
      </c>
    </row>
    <row r="9" customFormat="false" ht="23.85" hidden="false" customHeight="false" outlineLevel="0" collapsed="false">
      <c r="A9" s="7" t="n">
        <v>8</v>
      </c>
      <c r="B9" s="7" t="s">
        <v>1271</v>
      </c>
      <c r="C9" s="7" t="s">
        <v>1272</v>
      </c>
      <c r="D9" s="7" t="s">
        <v>1273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2026-09-26T02:20:28Z</dcterms:created>
  <dc:creator>openpyxl</dc:creator>
  <dc:description/>
  <dc:language>en-US</dc:language>
  <cp:lastModifiedBy/>
  <dcterms:modified xsi:type="dcterms:W3CDTF">2026-09-26T02:20:28Z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